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d5b1b22c9abd52/Desktop/PROJECT DEFENSE DATA ANALYSIS/"/>
    </mc:Choice>
  </mc:AlternateContent>
  <xr:revisionPtr revIDLastSave="4" documentId="8_{1803AE9C-7B0A-48F2-9B36-DF087F0C6CCE}" xr6:coauthVersionLast="47" xr6:coauthVersionMax="47" xr10:uidLastSave="{9277DD04-AC12-4FD1-9AB9-C0558AAF4E6F}"/>
  <bookViews>
    <workbookView xWindow="-110" yWindow="-110" windowWidth="19420" windowHeight="10300" xr2:uid="{6A7B19FC-E7A0-462D-8809-D31226A7AD5C}"/>
  </bookViews>
  <sheets>
    <sheet name="Cleaned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40" i="1" l="1"/>
  <c r="J1137" i="1"/>
  <c r="J1098" i="1"/>
  <c r="J944" i="1"/>
  <c r="J885" i="1"/>
  <c r="J804" i="1"/>
  <c r="J684" i="1"/>
  <c r="J575" i="1"/>
  <c r="J386" i="1"/>
  <c r="F1200" i="1"/>
  <c r="G1133" i="1"/>
  <c r="G1050" i="1"/>
  <c r="G985" i="1"/>
  <c r="F969" i="1"/>
  <c r="F966" i="1"/>
  <c r="G747" i="1"/>
  <c r="J224" i="1"/>
  <c r="F679" i="1"/>
  <c r="F678" i="1"/>
  <c r="F661" i="1"/>
  <c r="G554" i="1"/>
  <c r="G504" i="1"/>
  <c r="G479" i="1"/>
  <c r="G442" i="1"/>
  <c r="G371" i="1"/>
  <c r="G355" i="1"/>
  <c r="G321" i="1"/>
  <c r="F313" i="1"/>
  <c r="F300" i="1"/>
  <c r="G284" i="1"/>
  <c r="F277" i="1"/>
  <c r="F207" i="1"/>
  <c r="F204" i="1"/>
  <c r="G200" i="1"/>
  <c r="F169" i="1"/>
  <c r="F110" i="1"/>
  <c r="F88" i="1"/>
  <c r="G73" i="1"/>
  <c r="G61" i="1"/>
  <c r="F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73DFF-75A2-4D20-868D-F2E47D697FD1}" keepAlive="1" name="Query - Cleaned_Data4" description="Connection to the 'Cleaned_Data4' query in the workbook." type="5" refreshedVersion="0" background="1" saveData="1">
    <dbPr connection="Provider=Microsoft.Mashup.OleDb.1;Data Source=$Workbook$;Location=Cleaned_Data4;Extended Properties=&quot;&quot;" command="SELECT * FROM [Cleaned_Data4]"/>
  </connection>
  <connection id="2" xr16:uid="{6D89FD8F-EAF4-49C3-BDA3-311E7161AD1C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<sst xmlns="http://schemas.openxmlformats.org/spreadsheetml/2006/main" count="8425" uniqueCount="1357">
  <si>
    <t>Order_ID</t>
  </si>
  <si>
    <t>Customer_ID</t>
  </si>
  <si>
    <t>Order_Date</t>
  </si>
  <si>
    <t>Product</t>
  </si>
  <si>
    <t>Category</t>
  </si>
  <si>
    <t>Quantity</t>
  </si>
  <si>
    <t>Unit_Price</t>
  </si>
  <si>
    <t>Sales_Amount</t>
  </si>
  <si>
    <t>Unit_Cost</t>
  </si>
  <si>
    <t>Profit</t>
  </si>
  <si>
    <t>Region</t>
  </si>
  <si>
    <t>Sales_Channel</t>
  </si>
  <si>
    <t>Salesperson</t>
  </si>
  <si>
    <t>ORD-00020</t>
  </si>
  <si>
    <t>CUST-0068</t>
  </si>
  <si>
    <t>Wireless Mouse</t>
  </si>
  <si>
    <t>Accessories</t>
  </si>
  <si>
    <t>Lagos</t>
  </si>
  <si>
    <t>Wholesale</t>
  </si>
  <si>
    <t>Emeka</t>
  </si>
  <si>
    <t>ORD-00788</t>
  </si>
  <si>
    <t>CUST-0041</t>
  </si>
  <si>
    <t>Printer</t>
  </si>
  <si>
    <t>Electronics</t>
  </si>
  <si>
    <t>Port Harcourt</t>
  </si>
  <si>
    <t>Grace</t>
  </si>
  <si>
    <t>ORD-00396</t>
  </si>
  <si>
    <t>CUST-0036</t>
  </si>
  <si>
    <t>Smartphone</t>
  </si>
  <si>
    <t>Retail</t>
  </si>
  <si>
    <t>Fatima</t>
  </si>
  <si>
    <t>ORD-00565</t>
  </si>
  <si>
    <t>CUST-0054</t>
  </si>
  <si>
    <t>Kano</t>
  </si>
  <si>
    <t>John</t>
  </si>
  <si>
    <t>ORD-00629</t>
  </si>
  <si>
    <t>CUST-0026</t>
  </si>
  <si>
    <t>Keyboard</t>
  </si>
  <si>
    <t>Ibrahim</t>
  </si>
  <si>
    <t>ORD-00160</t>
  </si>
  <si>
    <t>CUST-0077</t>
  </si>
  <si>
    <t>ORD-00426</t>
  </si>
  <si>
    <t>CUST-0014</t>
  </si>
  <si>
    <t>ORD-00766</t>
  </si>
  <si>
    <t>CUST-0051</t>
  </si>
  <si>
    <t>Laptop</t>
  </si>
  <si>
    <t>ORD-00315</t>
  </si>
  <si>
    <t>CUST-0072</t>
  </si>
  <si>
    <t>Desk</t>
  </si>
  <si>
    <t>Furniture</t>
  </si>
  <si>
    <t>Daniel</t>
  </si>
  <si>
    <t>ORD-01061</t>
  </si>
  <si>
    <t>External Drive</t>
  </si>
  <si>
    <t>Online</t>
  </si>
  <si>
    <t>ORD-01075</t>
  </si>
  <si>
    <t>CUST-0087</t>
  </si>
  <si>
    <t>Webcam</t>
  </si>
  <si>
    <t>ORD-00859</t>
  </si>
  <si>
    <t>CUST-0033</t>
  </si>
  <si>
    <t>ORD-00556</t>
  </si>
  <si>
    <t>CUST-0047</t>
  </si>
  <si>
    <t>ORD-00411</t>
  </si>
  <si>
    <t>CUST-0032</t>
  </si>
  <si>
    <t>USB Cable</t>
  </si>
  <si>
    <t>ORD-00106</t>
  </si>
  <si>
    <t>CUST-0040</t>
  </si>
  <si>
    <t>Office Chair</t>
  </si>
  <si>
    <t>Ada</t>
  </si>
  <si>
    <t>ORD-00520</t>
  </si>
  <si>
    <t>CUST-0092</t>
  </si>
  <si>
    <t>Headphones</t>
  </si>
  <si>
    <t>Abuja</t>
  </si>
  <si>
    <t>ORD-01090</t>
  </si>
  <si>
    <t>CUST-0098</t>
  </si>
  <si>
    <t>ORD-00198</t>
  </si>
  <si>
    <t>CUST-0065</t>
  </si>
  <si>
    <t>ORD-00101</t>
  </si>
  <si>
    <t>CUST-0090</t>
  </si>
  <si>
    <t>ORD-00358</t>
  </si>
  <si>
    <t>CUST-0023</t>
  </si>
  <si>
    <t>Ibadan</t>
  </si>
  <si>
    <t>ORD-00418</t>
  </si>
  <si>
    <t>CUST-0020</t>
  </si>
  <si>
    <t>ORD-00612</t>
  </si>
  <si>
    <t>CUST-0076</t>
  </si>
  <si>
    <t>ORD-00545</t>
  </si>
  <si>
    <t>CUST-0079</t>
  </si>
  <si>
    <t>ORD-00722</t>
  </si>
  <si>
    <t>CUST-0021</t>
  </si>
  <si>
    <t>ORD-00481</t>
  </si>
  <si>
    <t>CUST-0083</t>
  </si>
  <si>
    <t>ORD-01132</t>
  </si>
  <si>
    <t>CUST-0066</t>
  </si>
  <si>
    <t>ORD-01002</t>
  </si>
  <si>
    <t>CUST-0011</t>
  </si>
  <si>
    <t>ORD-00026</t>
  </si>
  <si>
    <t>CUST-0008</t>
  </si>
  <si>
    <t>ORD-00996</t>
  </si>
  <si>
    <t>ORD-00379</t>
  </si>
  <si>
    <t>ORD-00081</t>
  </si>
  <si>
    <t>CUST-0070</t>
  </si>
  <si>
    <t>ORD-00763</t>
  </si>
  <si>
    <t>ORD-00278</t>
  </si>
  <si>
    <t>CUST-0062</t>
  </si>
  <si>
    <t>ORD-00691</t>
  </si>
  <si>
    <t>CUST-0035</t>
  </si>
  <si>
    <t>Monitor</t>
  </si>
  <si>
    <t>ORD-00814</t>
  </si>
  <si>
    <t>ORD-00925</t>
  </si>
  <si>
    <t>CUST-0058</t>
  </si>
  <si>
    <t>ORD-00785</t>
  </si>
  <si>
    <t>CUST-0018</t>
  </si>
  <si>
    <t>ORD-00684</t>
  </si>
  <si>
    <t>CUST-0059</t>
  </si>
  <si>
    <t>ORD-00053</t>
  </si>
  <si>
    <t>CUST-0030</t>
  </si>
  <si>
    <t>ORD-00062</t>
  </si>
  <si>
    <t>CUST-0075</t>
  </si>
  <si>
    <t>ORD-00511</t>
  </si>
  <si>
    <t>ORD-01119</t>
  </si>
  <si>
    <t>ORD-00561</t>
  </si>
  <si>
    <t>UNKNOWN</t>
  </si>
  <si>
    <t>ORD-00117</t>
  </si>
  <si>
    <t>CUST-0042</t>
  </si>
  <si>
    <t>ORD-00559</t>
  </si>
  <si>
    <t>CUST-0064</t>
  </si>
  <si>
    <t>ORD-00921</t>
  </si>
  <si>
    <t>CUST-0099</t>
  </si>
  <si>
    <t>ORD-00657</t>
  </si>
  <si>
    <t>CUST-0096</t>
  </si>
  <si>
    <t>ORD-01020</t>
  </si>
  <si>
    <t>ORD-00249</t>
  </si>
  <si>
    <t>ORD-00935</t>
  </si>
  <si>
    <t>CUST-0037</t>
  </si>
  <si>
    <t>ORD-00794</t>
  </si>
  <si>
    <t>CUST-0004</t>
  </si>
  <si>
    <t>ORD-00946</t>
  </si>
  <si>
    <t>ORD-00910</t>
  </si>
  <si>
    <t>CUST-0091</t>
  </si>
  <si>
    <t>ORD-00941</t>
  </si>
  <si>
    <t>ORD-00430</t>
  </si>
  <si>
    <t>CUST-0007</t>
  </si>
  <si>
    <t>ORD-00967</t>
  </si>
  <si>
    <t>ORD-00397</t>
  </si>
  <si>
    <t>ORD-00566</t>
  </si>
  <si>
    <t>ORD-01010</t>
  </si>
  <si>
    <t>CUST-0078</t>
  </si>
  <si>
    <t>ORD-00945</t>
  </si>
  <si>
    <t>ORD-00155</t>
  </si>
  <si>
    <t>CUST-0063</t>
  </si>
  <si>
    <t>ORD-00260</t>
  </si>
  <si>
    <t>CUST-0074</t>
  </si>
  <si>
    <t>ORD-00158</t>
  </si>
  <si>
    <t>ORD-01012</t>
  </si>
  <si>
    <t>CUST-0057</t>
  </si>
  <si>
    <t>ORD-00364</t>
  </si>
  <si>
    <t>CUST-0089</t>
  </si>
  <si>
    <t>ORD-01142</t>
  </si>
  <si>
    <t>ORD-01064</t>
  </si>
  <si>
    <t>CUST-0003</t>
  </si>
  <si>
    <t>ORD-00653</t>
  </si>
  <si>
    <t>CUST-0100</t>
  </si>
  <si>
    <t>ORD-00340</t>
  </si>
  <si>
    <t>ORD-01097</t>
  </si>
  <si>
    <t>ORD-00242</t>
  </si>
  <si>
    <t>CUST-0012</t>
  </si>
  <si>
    <t>ORD-00704</t>
  </si>
  <si>
    <t>ORD-01050</t>
  </si>
  <si>
    <t>ORD-01027</t>
  </si>
  <si>
    <t>CUST-0019</t>
  </si>
  <si>
    <t>ORD-00589</t>
  </si>
  <si>
    <t>ORD-00952</t>
  </si>
  <si>
    <t>ORD-00327</t>
  </si>
  <si>
    <t>ORD-01183</t>
  </si>
  <si>
    <t>CUST-0049</t>
  </si>
  <si>
    <t>ORD-00895</t>
  </si>
  <si>
    <t>CUST-0025</t>
  </si>
  <si>
    <t>ORD-00297</t>
  </si>
  <si>
    <t>ORD-00839</t>
  </si>
  <si>
    <t>ORD-00300</t>
  </si>
  <si>
    <t>CUST-0071</t>
  </si>
  <si>
    <t>ORD-00736</t>
  </si>
  <si>
    <t>ORD-00076</t>
  </si>
  <si>
    <t>ORD-01009</t>
  </si>
  <si>
    <t>ORD-00578</t>
  </si>
  <si>
    <t>ORD-00840</t>
  </si>
  <si>
    <t>ORD-00017</t>
  </si>
  <si>
    <t>CUST-0069</t>
  </si>
  <si>
    <t>ORD-00854</t>
  </si>
  <si>
    <t>ORD-00400</t>
  </si>
  <si>
    <t>ORD-00505</t>
  </si>
  <si>
    <t>ORD-00086</t>
  </si>
  <si>
    <t>ORD-00623</t>
  </si>
  <si>
    <t>CUST-0053</t>
  </si>
  <si>
    <t>ORD-00989</t>
  </si>
  <si>
    <t>ORD-00210</t>
  </si>
  <si>
    <t>CUST-0031</t>
  </si>
  <si>
    <t>ORD-00575</t>
  </si>
  <si>
    <t>ORD-00124</t>
  </si>
  <si>
    <t>ORD-01098</t>
  </si>
  <si>
    <t>CUST-0034</t>
  </si>
  <si>
    <t>ORD-01192</t>
  </si>
  <si>
    <t>ORD-00033</t>
  </si>
  <si>
    <t>ORD-00637</t>
  </si>
  <si>
    <t>ORD-01015</t>
  </si>
  <si>
    <t>CUST-0013</t>
  </si>
  <si>
    <t>ORD-01150</t>
  </si>
  <si>
    <t>ORD-00244</t>
  </si>
  <si>
    <t>CUST-0016</t>
  </si>
  <si>
    <t>ORD-00199</t>
  </si>
  <si>
    <t>ORD-00613</t>
  </si>
  <si>
    <t>CUST-0002</t>
  </si>
  <si>
    <t>ORD-00740</t>
  </si>
  <si>
    <t>CUST-0045</t>
  </si>
  <si>
    <t>ORD-01180</t>
  </si>
  <si>
    <t>CUST-0067</t>
  </si>
  <si>
    <t>ORD-00338</t>
  </si>
  <si>
    <t>ORD-00990</t>
  </si>
  <si>
    <t>ORD-00897</t>
  </si>
  <si>
    <t>CUST-0029</t>
  </si>
  <si>
    <t xml:space="preserve">         UNKNOWN</t>
  </si>
  <si>
    <t>ORD-00534</t>
  </si>
  <si>
    <t>CUST-0015</t>
  </si>
  <si>
    <t>ORD-00204</t>
  </si>
  <si>
    <t>CUST-0043</t>
  </si>
  <si>
    <t>ORD-00959</t>
  </si>
  <si>
    <t>ORD-00727</t>
  </si>
  <si>
    <t>ORD-00354</t>
  </si>
  <si>
    <t>ORD-00032</t>
  </si>
  <si>
    <t>ORD-00883</t>
  </si>
  <si>
    <t>ORD-00429</t>
  </si>
  <si>
    <t>CUST-0093</t>
  </si>
  <si>
    <t>ORD-01076</t>
  </si>
  <si>
    <t>ORD-00555</t>
  </si>
  <si>
    <t>CUST-0080</t>
  </si>
  <si>
    <t>ORD-00822</t>
  </si>
  <si>
    <t>ORD-00156</t>
  </si>
  <si>
    <t>ORD-00762</t>
  </si>
  <si>
    <t>ORD-00015</t>
  </si>
  <si>
    <t>ORD-00693</t>
  </si>
  <si>
    <t>ORD-00444</t>
  </si>
  <si>
    <t>ORD-00547</t>
  </si>
  <si>
    <t>ORD-00016</t>
  </si>
  <si>
    <t>ORD-00178</t>
  </si>
  <si>
    <t>ORD-00609</t>
  </si>
  <si>
    <t>CUST-0081</t>
  </si>
  <si>
    <t>ORD-01084</t>
  </si>
  <si>
    <t>ORD-00971</t>
  </si>
  <si>
    <t>ORD-00060</t>
  </si>
  <si>
    <t>ORD-00265</t>
  </si>
  <si>
    <t>CUST-0010</t>
  </si>
  <si>
    <t>printer</t>
  </si>
  <si>
    <t>ORD-00915</t>
  </si>
  <si>
    <t>ORD-00832</t>
  </si>
  <si>
    <t>ORD-00480</t>
  </si>
  <si>
    <t>ORD-00553</t>
  </si>
  <si>
    <t>ORD-00931</t>
  </si>
  <si>
    <t>ORD-00355</t>
  </si>
  <si>
    <t>ORD-00272</t>
  </si>
  <si>
    <t>ORD-00466</t>
  </si>
  <si>
    <t>ORD-00539</t>
  </si>
  <si>
    <t>CUST-0006</t>
  </si>
  <si>
    <t>ORD-00050</t>
  </si>
  <si>
    <t>ORD-01030</t>
  </si>
  <si>
    <t>ORD-00624</t>
  </si>
  <si>
    <t>ORD-00625</t>
  </si>
  <si>
    <t>CUST-0052</t>
  </si>
  <si>
    <t>ORD-00256</t>
  </si>
  <si>
    <t>ORD-00214</t>
  </si>
  <si>
    <t>ORD-00857</t>
  </si>
  <si>
    <t>laptop</t>
  </si>
  <si>
    <t>ORD-00474</t>
  </si>
  <si>
    <t>ORD-00620</t>
  </si>
  <si>
    <t>ORD-00830</t>
  </si>
  <si>
    <t>ORD-00694</t>
  </si>
  <si>
    <t>ORD-00645</t>
  </si>
  <si>
    <t>ORD-00189</t>
  </si>
  <si>
    <t>ORD-00563</t>
  </si>
  <si>
    <t>CUST-0056</t>
  </si>
  <si>
    <t>ORD-00602</t>
  </si>
  <si>
    <t>ORD-00329</t>
  </si>
  <si>
    <t>ORD-00701</t>
  </si>
  <si>
    <t>ORD-00167</t>
  </si>
  <si>
    <t>ORD-00068</t>
  </si>
  <si>
    <t>ORD-00285</t>
  </si>
  <si>
    <t>ORD-00964</t>
  </si>
  <si>
    <t>ORD-00172</t>
  </si>
  <si>
    <t>ORD-00454</t>
  </si>
  <si>
    <t>ORD-00781</t>
  </si>
  <si>
    <t>ORD-00233</t>
  </si>
  <si>
    <t>ORD-00159</t>
  </si>
  <si>
    <t>ORD-00764</t>
  </si>
  <si>
    <t>CUST-0086</t>
  </si>
  <si>
    <t>ORD-00232</t>
  </si>
  <si>
    <t>CUST-0024</t>
  </si>
  <si>
    <t>ORD-00912</t>
  </si>
  <si>
    <t>ORD-01188</t>
  </si>
  <si>
    <t>ORD-00867</t>
  </si>
  <si>
    <t>ORD-00443</t>
  </si>
  <si>
    <t>CUST-0028</t>
  </si>
  <si>
    <t>ORD-00461</t>
  </si>
  <si>
    <t>ORD-00237</t>
  </si>
  <si>
    <t>CUST-0073</t>
  </si>
  <si>
    <t>ORD-00948</t>
  </si>
  <si>
    <t>ORD-01065</t>
  </si>
  <si>
    <t>ORD-00508</t>
  </si>
  <si>
    <t>ORD-01185</t>
  </si>
  <si>
    <t>ORD-00748</t>
  </si>
  <si>
    <t>CUST-0085</t>
  </si>
  <si>
    <t>ORD-01000</t>
  </si>
  <si>
    <t>ORD-00530</t>
  </si>
  <si>
    <t>ORD-01058</t>
  </si>
  <si>
    <t>ORD-00747</t>
  </si>
  <si>
    <t>ORD-00918</t>
  </si>
  <si>
    <t>ORD-00089</t>
  </si>
  <si>
    <t>ORD-00970</t>
  </si>
  <si>
    <t>CUST-0055</t>
  </si>
  <si>
    <t>ORD-00381</t>
  </si>
  <si>
    <t>ORD-00343</t>
  </si>
  <si>
    <t>ORD-00855</t>
  </si>
  <si>
    <t>ORD-00526</t>
  </si>
  <si>
    <t>CUST-0009</t>
  </si>
  <si>
    <t>ORD-01199</t>
  </si>
  <si>
    <t>ORD-00641</t>
  </si>
  <si>
    <t>ORD-00406</t>
  </si>
  <si>
    <t>CUST-0094</t>
  </si>
  <si>
    <t>ORD-00447</t>
  </si>
  <si>
    <t>ORD-00993</t>
  </si>
  <si>
    <t>ORD-00804</t>
  </si>
  <si>
    <t>ORD-00944</t>
  </si>
  <si>
    <t>ORD-01104</t>
  </si>
  <si>
    <t>CUST-0048</t>
  </si>
  <si>
    <t>ORD-00518</t>
  </si>
  <si>
    <t>ORD-01138</t>
  </si>
  <si>
    <t>ORD-00792</t>
  </si>
  <si>
    <t>CUST-0082</t>
  </si>
  <si>
    <t>ORD-01034</t>
  </si>
  <si>
    <t>ORD-00775</t>
  </si>
  <si>
    <t>ORD-00875</t>
  </si>
  <si>
    <t>ORD-00460</t>
  </si>
  <si>
    <t>ORD-00870</t>
  </si>
  <si>
    <t>ORD-00525</t>
  </si>
  <si>
    <t>ORD-00858</t>
  </si>
  <si>
    <t>CUST-0017</t>
  </si>
  <si>
    <t>ORD-00902</t>
  </si>
  <si>
    <t>ORD-01128</t>
  </si>
  <si>
    <t>ORD-00219</t>
  </si>
  <si>
    <t>ORD-00739</t>
  </si>
  <si>
    <t>ORD-00582</t>
  </si>
  <si>
    <t>external drive</t>
  </si>
  <si>
    <t>ORD-01069</t>
  </si>
  <si>
    <t>CUST-0038</t>
  </si>
  <si>
    <t>ORD-00257</t>
  </si>
  <si>
    <t>ORD-01060</t>
  </si>
  <si>
    <t>ORD-00350</t>
  </si>
  <si>
    <t xml:space="preserve">          UNKNOWN</t>
  </si>
  <si>
    <t>ORD-01167</t>
  </si>
  <si>
    <t>ORD-00108</t>
  </si>
  <si>
    <t>ORD-00268</t>
  </si>
  <si>
    <t>CUST-0061</t>
  </si>
  <si>
    <t>ORD-00603</t>
  </si>
  <si>
    <t>ORD-00011</t>
  </si>
  <si>
    <t>ORD-00073</t>
  </si>
  <si>
    <t>ORD-00423</t>
  </si>
  <si>
    <t>ORD-00029</t>
  </si>
  <si>
    <t>CUST-0060</t>
  </si>
  <si>
    <t>ORD-00661</t>
  </si>
  <si>
    <t>ORD-00336</t>
  </si>
  <si>
    <t>ORD-00464</t>
  </si>
  <si>
    <t>ORD-00227</t>
  </si>
  <si>
    <t>webcam</t>
  </si>
  <si>
    <t>ORD-01107</t>
  </si>
  <si>
    <t>ORD-00294</t>
  </si>
  <si>
    <t>ORD-00871</t>
  </si>
  <si>
    <t>ORD-00949</t>
  </si>
  <si>
    <t>ORD-00091</t>
  </si>
  <si>
    <t>ORD-00542</t>
  </si>
  <si>
    <t>ORD-00042</t>
  </si>
  <si>
    <t>ORD-00574</t>
  </si>
  <si>
    <t>ORD-00375</t>
  </si>
  <si>
    <t>CUST-0001</t>
  </si>
  <si>
    <t>ORD-01049</t>
  </si>
  <si>
    <t>ORD-01025</t>
  </si>
  <si>
    <t>ORD-00383</t>
  </si>
  <si>
    <t>office chair</t>
  </si>
  <si>
    <t>ORD-00314</t>
  </si>
  <si>
    <t>ORD-01145</t>
  </si>
  <si>
    <t>ORD-00483</t>
  </si>
  <si>
    <t>ORD-01147</t>
  </si>
  <si>
    <t>ORD-00732</t>
  </si>
  <si>
    <t>ORD-00725</t>
  </si>
  <si>
    <t>CUST-0005</t>
  </si>
  <si>
    <t>ORD-00382</t>
  </si>
  <si>
    <t>ORD-00077</t>
  </si>
  <si>
    <t>ORD-00758</t>
  </si>
  <si>
    <t>ORD-00937</t>
  </si>
  <si>
    <t>ORD-00900</t>
  </si>
  <si>
    <t>ORD-00318</t>
  </si>
  <si>
    <t>ORD-00572</t>
  </si>
  <si>
    <t>ORD-00738</t>
  </si>
  <si>
    <t>ORD-00655</t>
  </si>
  <si>
    <t>ORD-00286</t>
  </si>
  <si>
    <t>ORD-01052</t>
  </si>
  <si>
    <t>ORD-00211</t>
  </si>
  <si>
    <t>ORD-00688</t>
  </si>
  <si>
    <t>ORD-00493</t>
  </si>
  <si>
    <t>ORD-00583</t>
  </si>
  <si>
    <t>ORD-00252</t>
  </si>
  <si>
    <t>ORD-00678</t>
  </si>
  <si>
    <t>ORD-00052</t>
  </si>
  <si>
    <t>ORD-00802</t>
  </si>
  <si>
    <t>ORD-00279</t>
  </si>
  <si>
    <t>ORD-00927</t>
  </si>
  <si>
    <t>ORD-00096</t>
  </si>
  <si>
    <t>ORD-00180</t>
  </si>
  <si>
    <t>CUST-0097</t>
  </si>
  <si>
    <t>ORD-00003</t>
  </si>
  <si>
    <t>CUST-0084</t>
  </si>
  <si>
    <t>ORD-00055</t>
  </si>
  <si>
    <t>desk</t>
  </si>
  <si>
    <t>ORD-01017</t>
  </si>
  <si>
    <t>ORD-00606</t>
  </si>
  <si>
    <t>ORD-00450</t>
  </si>
  <si>
    <t>CUST-0046</t>
  </si>
  <si>
    <t>ORD-00236</t>
  </si>
  <si>
    <t>ORD-00825</t>
  </si>
  <si>
    <t>ORD-00183</t>
  </si>
  <si>
    <t>ORD-00813</t>
  </si>
  <si>
    <t>ORD-00777</t>
  </si>
  <si>
    <t>ORD-00238</t>
  </si>
  <si>
    <t>ORD-00019</t>
  </si>
  <si>
    <t>ORD-01077</t>
  </si>
  <si>
    <t>ORD-00420</t>
  </si>
  <si>
    <t>ORD-00914</t>
  </si>
  <si>
    <t>ORD-00202</t>
  </si>
  <si>
    <t>ORD-00292</t>
  </si>
  <si>
    <t>ORD-00715</t>
  </si>
  <si>
    <t>ORD-00698</t>
  </si>
  <si>
    <t>ORD-01198</t>
  </si>
  <si>
    <t>ORD-00812</t>
  </si>
  <si>
    <t>ORD-00852</t>
  </si>
  <si>
    <t>ORD-00154</t>
  </si>
  <si>
    <t>ORD-00882</t>
  </si>
  <si>
    <t>ORD-00668</t>
  </si>
  <si>
    <t>ORD-00277</t>
  </si>
  <si>
    <t>ORD-00864</t>
  </si>
  <si>
    <t>ORD-00174</t>
  </si>
  <si>
    <t>ORD-00686</t>
  </si>
  <si>
    <t>ORD-00192</t>
  </si>
  <si>
    <t>ORD-00849</t>
  </si>
  <si>
    <t>CUST-0039</t>
  </si>
  <si>
    <t>ORD-01156</t>
  </si>
  <si>
    <t>ORD-01031</t>
  </si>
  <si>
    <t>ORD-00846</t>
  </si>
  <si>
    <t>ORD-00942</t>
  </si>
  <si>
    <t>ORD-01091</t>
  </si>
  <si>
    <t>ORD-00069</t>
  </si>
  <si>
    <t>ORD-00924</t>
  </si>
  <si>
    <t>ORD-01033</t>
  </si>
  <si>
    <t>ORD-00431</t>
  </si>
  <si>
    <t>ORD-00441</t>
  </si>
  <si>
    <t>ORD-00269</t>
  </si>
  <si>
    <t>ORD-00673</t>
  </si>
  <si>
    <t>ORD-00978</t>
  </si>
  <si>
    <t>ORD-01153</t>
  </si>
  <si>
    <t>ORD-00022</t>
  </si>
  <si>
    <t>ORD-00630</t>
  </si>
  <si>
    <t>ORD-00982</t>
  </si>
  <si>
    <t>ORD-00711</t>
  </si>
  <si>
    <t>ORD-00901</t>
  </si>
  <si>
    <t>ORD-00274</t>
  </si>
  <si>
    <t>ORD-00667</t>
  </si>
  <si>
    <t>ORD-00827</t>
  </si>
  <si>
    <t>ORD-00098</t>
  </si>
  <si>
    <t>ORD-00960</t>
  </si>
  <si>
    <t>ORD-00881</t>
  </si>
  <si>
    <t>ORD-00208</t>
  </si>
  <si>
    <t>ORD-00432</t>
  </si>
  <si>
    <t>ORD-00403</t>
  </si>
  <si>
    <t>ORD-00760</t>
  </si>
  <si>
    <t>ORD-00930</t>
  </si>
  <si>
    <t>ORD-00863</t>
  </si>
  <si>
    <t>ORD-00070</t>
  </si>
  <si>
    <t>ORD-01023</t>
  </si>
  <si>
    <t>ORD-00580</t>
  </si>
  <si>
    <t>ORD-00808</t>
  </si>
  <si>
    <t>ORD-00253</t>
  </si>
  <si>
    <t>ORD-00905</t>
  </si>
  <si>
    <t>ORD-00367</t>
  </si>
  <si>
    <t>ORD-01187</t>
  </si>
  <si>
    <t>ORD-00963</t>
  </si>
  <si>
    <t>ORD-00295</t>
  </si>
  <si>
    <t>ORD-00795</t>
  </si>
  <si>
    <t>ORD-01038</t>
  </si>
  <si>
    <t>ORD-00806</t>
  </si>
  <si>
    <t>ORD-00459</t>
  </si>
  <si>
    <t>ORD-00753</t>
  </si>
  <si>
    <t>ORD-00491</t>
  </si>
  <si>
    <t>ORD-00821</t>
  </si>
  <si>
    <t>CUST-0095</t>
  </si>
  <si>
    <t>ORD-00670</t>
  </si>
  <si>
    <t>ORD-00917</t>
  </si>
  <si>
    <t>ORD-01131</t>
  </si>
  <si>
    <t>ORD-00045</t>
  </si>
  <si>
    <t>ORD-00326</t>
  </si>
  <si>
    <t>ORD-01073</t>
  </si>
  <si>
    <t>ORD-00118</t>
  </si>
  <si>
    <t>headphones</t>
  </si>
  <si>
    <t>ORD-00267</t>
  </si>
  <si>
    <t>ORD-00220</t>
  </si>
  <si>
    <t>ORD-00142</t>
  </si>
  <si>
    <t>ORD-00797</t>
  </si>
  <si>
    <t>CUST-0027</t>
  </si>
  <si>
    <t>ORD-01116</t>
  </si>
  <si>
    <t>ORD-01092</t>
  </si>
  <si>
    <t>ORD-00182</t>
  </si>
  <si>
    <t>ORD-01051</t>
  </si>
  <si>
    <t>ORD-00094</t>
  </si>
  <si>
    <t>ORD-00235</t>
  </si>
  <si>
    <t>ORD-01102</t>
  </si>
  <si>
    <t>ORD-00635</t>
  </si>
  <si>
    <t>ORD-00415</t>
  </si>
  <si>
    <t>ORD-00697</t>
  </si>
  <si>
    <t>ORD-00540</t>
  </si>
  <si>
    <t>ORD-00363</t>
  </si>
  <si>
    <t>ORD-00567</t>
  </si>
  <si>
    <t>ORD-00449</t>
  </si>
  <si>
    <t>ORD-00372</t>
  </si>
  <si>
    <t>ORD-01168</t>
  </si>
  <si>
    <t>ORD-00137</t>
  </si>
  <si>
    <t>ORD-00800</t>
  </si>
  <si>
    <t>ORD-00685</t>
  </si>
  <si>
    <t>ORD-00435</t>
  </si>
  <si>
    <t>ORD-00489</t>
  </si>
  <si>
    <t>ORD-00065</t>
  </si>
  <si>
    <t>ORD-00594</t>
  </si>
  <si>
    <t>CUST-0050</t>
  </si>
  <si>
    <t>ORD-01046</t>
  </si>
  <si>
    <t>ORD-00478</t>
  </si>
  <si>
    <t>smartphone</t>
  </si>
  <si>
    <t>ORD-00643</t>
  </si>
  <si>
    <t>ORD-01029</t>
  </si>
  <si>
    <t>ORD-00005</t>
  </si>
  <si>
    <t>ORD-01123</t>
  </si>
  <si>
    <t>ORD-01013</t>
  </si>
  <si>
    <t>ORD-00245</t>
  </si>
  <si>
    <t>ORD-00207</t>
  </si>
  <si>
    <t>ORD-00305</t>
  </si>
  <si>
    <t>ORD-00417</t>
  </si>
  <si>
    <t>ORD-00529</t>
  </si>
  <si>
    <t>ORD-00465</t>
  </si>
  <si>
    <t>ORD-00348</t>
  </si>
  <si>
    <t>ORD-00868</t>
  </si>
  <si>
    <t>ORD-01085</t>
  </si>
  <si>
    <t>ORD-00749</t>
  </si>
  <si>
    <t>ORD-00644</t>
  </si>
  <si>
    <t>ORD-00596</t>
  </si>
  <si>
    <t>ORD-01160</t>
  </si>
  <si>
    <t>ORD-00987</t>
  </si>
  <si>
    <t>ORD-00058</t>
  </si>
  <si>
    <t>ORD-00879</t>
  </si>
  <si>
    <t>ORD-00636</t>
  </si>
  <si>
    <t>ORD-00568</t>
  </si>
  <si>
    <t>ORD-00283</t>
  </si>
  <si>
    <t>ORD-00145</t>
  </si>
  <si>
    <t>ORD-00293</t>
  </si>
  <si>
    <t>ORD-00359</t>
  </si>
  <si>
    <t>ORD-00179</t>
  </si>
  <si>
    <t>ORD-00271</t>
  </si>
  <si>
    <t>ORD-01139</t>
  </si>
  <si>
    <t>ORD-00604</t>
  </si>
  <si>
    <t>ORD-00700</t>
  </si>
  <si>
    <t>ORD-00851</t>
  </si>
  <si>
    <t>ORD-01190</t>
  </si>
  <si>
    <t>ORD-00666</t>
  </si>
  <si>
    <t>ORD-00537</t>
  </si>
  <si>
    <t>ORD-00270</t>
  </si>
  <si>
    <t>ORD-00843</t>
  </si>
  <si>
    <t>ORD-00783</t>
  </si>
  <si>
    <t>ORD-00803</t>
  </si>
  <si>
    <t>ORD-00611</t>
  </si>
  <si>
    <t>ORD-00437</t>
  </si>
  <si>
    <t>ORD-00114</t>
  </si>
  <si>
    <t>ORD-00999</t>
  </si>
  <si>
    <t>ORD-00051</t>
  </si>
  <si>
    <t>ORD-00558</t>
  </si>
  <si>
    <t>ORD-00632</t>
  </si>
  <si>
    <t>ORD-00116</t>
  </si>
  <si>
    <t>ORD-00860</t>
  </si>
  <si>
    <t>ORD-00075</t>
  </si>
  <si>
    <t>ORD-00820</t>
  </si>
  <si>
    <t>ORD-00399</t>
  </si>
  <si>
    <t>ORD-00911</t>
  </si>
  <si>
    <t>ORD-00896</t>
  </si>
  <si>
    <t>ORD-00521</t>
  </si>
  <si>
    <t>ORD-01136</t>
  </si>
  <si>
    <t>ORD-00169</t>
  </si>
  <si>
    <t>ORD-00034</t>
  </si>
  <si>
    <t>ORD-01189</t>
  </si>
  <si>
    <t>ORD-00579</t>
  </si>
  <si>
    <t>ORD-00903</t>
  </si>
  <si>
    <t>ORD-00057</t>
  </si>
  <si>
    <t>ORD-01080</t>
  </si>
  <si>
    <t>ORD-00713</t>
  </si>
  <si>
    <t>ORD-01176</t>
  </si>
  <si>
    <t>ORD-00040</t>
  </si>
  <si>
    <t>ORD-00471</t>
  </si>
  <si>
    <t>ORD-00014</t>
  </si>
  <si>
    <t>ORD-00710</t>
  </si>
  <si>
    <t>ORD-00223</t>
  </si>
  <si>
    <t>ORD-00564</t>
  </si>
  <si>
    <t>ORD-00162</t>
  </si>
  <si>
    <t>ORD-00079</t>
  </si>
  <si>
    <t>ORD-00473</t>
  </si>
  <si>
    <t>ORD-00524</t>
  </si>
  <si>
    <t>ORD-00936</t>
  </si>
  <si>
    <t>ORD-00598</t>
  </si>
  <si>
    <t>ORD-00262</t>
  </si>
  <si>
    <t>ORD-00421</t>
  </si>
  <si>
    <t>ORD-00639</t>
  </si>
  <si>
    <t>ORD-01106</t>
  </si>
  <si>
    <t>ORD-00289</t>
  </si>
  <si>
    <t>ORD-00928</t>
  </si>
  <si>
    <t>ORD-00366</t>
  </si>
  <si>
    <t>ORD-01078</t>
  </si>
  <si>
    <t>ORD-00331</t>
  </si>
  <si>
    <t>ORD-01144</t>
  </si>
  <si>
    <t>CUST-0088</t>
  </si>
  <si>
    <t>ORD-00325</t>
  </si>
  <si>
    <t>ORD-00514</t>
  </si>
  <si>
    <t>CUST-0022</t>
  </si>
  <si>
    <t>ORD-01126</t>
  </si>
  <si>
    <t>ORD-00865</t>
  </si>
  <si>
    <t>ORD-01174</t>
  </si>
  <si>
    <t>ORD-01100</t>
  </si>
  <si>
    <t>ORD-01146</t>
  </si>
  <si>
    <t>ORD-00030</t>
  </si>
  <si>
    <t>ORD-01114</t>
  </si>
  <si>
    <t>ORD-00482</t>
  </si>
  <si>
    <t>ORD-01071</t>
  </si>
  <si>
    <t>ORD-01155</t>
  </si>
  <si>
    <t>ORD-00750</t>
  </si>
  <si>
    <t>ORD-01112</t>
  </si>
  <si>
    <t>ORD-00886</t>
  </si>
  <si>
    <t>ORD-00234</t>
  </si>
  <si>
    <t>ORD-00205</t>
  </si>
  <si>
    <t>ORD-00221</t>
  </si>
  <si>
    <t>ORD-01108</t>
  </si>
  <si>
    <t>ORD-01043</t>
  </si>
  <si>
    <t>ORD-00196</t>
  </si>
  <si>
    <t>ORD-00134</t>
  </si>
  <si>
    <t>ORD-00719</t>
  </si>
  <si>
    <t>ORD-01164</t>
  </si>
  <si>
    <t>ORD-00039</t>
  </si>
  <si>
    <t>ORD-01109</t>
  </si>
  <si>
    <t>ORD-00951</t>
  </si>
  <si>
    <t>ORD-00706</t>
  </si>
  <si>
    <t>ORD-00560</t>
  </si>
  <si>
    <t>ORD-00847</t>
  </si>
  <si>
    <t>ORD-00368</t>
  </si>
  <si>
    <t>ORD-00222</t>
  </si>
  <si>
    <t>ORD-00938</t>
  </si>
  <si>
    <t>ORD-00672</t>
  </si>
  <si>
    <t>ORD-01127</t>
  </si>
  <si>
    <t>ORD-01048</t>
  </si>
  <si>
    <t>ORD-00723</t>
  </si>
  <si>
    <t>ORD-00038</t>
  </si>
  <si>
    <t>ORD-00243</t>
  </si>
  <si>
    <t>ORD-00046</t>
  </si>
  <si>
    <t>ORD-01197</t>
  </si>
  <si>
    <t>ORD-01072</t>
  </si>
  <si>
    <t>ORD-01111</t>
  </si>
  <si>
    <t>ORD-00361</t>
  </si>
  <si>
    <t>ORD-00718</t>
  </si>
  <si>
    <t>ORD-00503</t>
  </si>
  <si>
    <t>ORD-01121</t>
  </si>
  <si>
    <t>ORD-00995</t>
  </si>
  <si>
    <t>ORD-00801</t>
  </si>
  <si>
    <t>monitor</t>
  </si>
  <si>
    <t>ORD-00048</t>
  </si>
  <si>
    <t>ORD-00308</t>
  </si>
  <si>
    <t>ORD-01171</t>
  </si>
  <si>
    <t>ORD-00001</t>
  </si>
  <si>
    <t>ORD-00708</t>
  </si>
  <si>
    <t>ORD-00176</t>
  </si>
  <si>
    <t>ORD-00373</t>
  </si>
  <si>
    <t>ORD-00573</t>
  </si>
  <si>
    <t>ORD-00519</t>
  </si>
  <si>
    <t>ORD-01096</t>
  </si>
  <si>
    <t>ORD-00087</t>
  </si>
  <si>
    <t>ORD-01066</t>
  </si>
  <si>
    <t>ORD-00263</t>
  </si>
  <si>
    <t>ORD-00728</t>
  </si>
  <si>
    <t>ORD-01016</t>
  </si>
  <si>
    <t>ORD-00212</t>
  </si>
  <si>
    <t>ORD-00132</t>
  </si>
  <si>
    <t>ORD-01082</t>
  </si>
  <si>
    <t>ORD-00844</t>
  </si>
  <si>
    <t>ORD-00322</t>
  </si>
  <si>
    <t>ORD-00458</t>
  </si>
  <si>
    <t>ORD-00006</t>
  </si>
  <si>
    <t>ORD-00185</t>
  </si>
  <si>
    <t>ORD-00577</t>
  </si>
  <si>
    <t>ORD-00610</t>
  </si>
  <si>
    <t>ORD-00213</t>
  </si>
  <si>
    <t>ORD-01125</t>
  </si>
  <si>
    <t>ORD-00818</t>
  </si>
  <si>
    <t>ORD-00532</t>
  </si>
  <si>
    <t>ORD-00569</t>
  </si>
  <si>
    <t>ORD-00584</t>
  </si>
  <si>
    <t>ORD-00543</t>
  </si>
  <si>
    <t>ORD-00550</t>
  </si>
  <si>
    <t>ORD-00916</t>
  </si>
  <si>
    <t>ORD-00021</t>
  </si>
  <si>
    <t>ORD-00416</t>
  </si>
  <si>
    <t>ORD-00190</t>
  </si>
  <si>
    <t>ORD-00551</t>
  </si>
  <si>
    <t>ORD-01088</t>
  </si>
  <si>
    <t>ORD-00819</t>
  </si>
  <si>
    <t>ORD-00102</t>
  </si>
  <si>
    <t>ORD-00129</t>
  </si>
  <si>
    <t>ORD-00306</t>
  </si>
  <si>
    <t>ORD-01006</t>
  </si>
  <si>
    <t>ORD-00496</t>
  </si>
  <si>
    <t>ORD-01008</t>
  </si>
  <si>
    <t>ORD-00186</t>
  </si>
  <si>
    <t>ORD-00097</t>
  </si>
  <si>
    <t>ORD-00773</t>
  </si>
  <si>
    <t>ORD-00492</t>
  </si>
  <si>
    <t>ORD-00024</t>
  </si>
  <si>
    <t>ORD-00664</t>
  </si>
  <si>
    <t>ORD-00522</t>
  </si>
  <si>
    <t>ORD-00599</t>
  </si>
  <si>
    <t>ORD-00125</t>
  </si>
  <si>
    <t>ORD-00085</t>
  </si>
  <si>
    <t>ORD-01014</t>
  </si>
  <si>
    <t>ORD-01159</t>
  </si>
  <si>
    <t>ORD-00012</t>
  </si>
  <si>
    <t>ORD-00720</t>
  </si>
  <si>
    <t>ORD-01130</t>
  </si>
  <si>
    <t>ORD-01158</t>
  </si>
  <si>
    <t>ORD-01095</t>
  </si>
  <si>
    <t>ORD-00475</t>
  </si>
  <si>
    <t>ORD-00726</t>
  </si>
  <si>
    <t>ORD-00880</t>
  </si>
  <si>
    <t>ORD-00177</t>
  </si>
  <si>
    <t>ORD-00991</t>
  </si>
  <si>
    <t>ORD-00501</t>
  </si>
  <si>
    <t>ORD-00407</t>
  </si>
  <si>
    <t>ORD-00922</t>
  </si>
  <si>
    <t>ORD-00122</t>
  </si>
  <si>
    <t>ORD-00035</t>
  </si>
  <si>
    <t>ORD-00251</t>
  </si>
  <si>
    <t>ORD-01154</t>
  </si>
  <si>
    <t>ORD-00153</t>
  </si>
  <si>
    <t>ORD-00445</t>
  </si>
  <si>
    <t>ORD-00347</t>
  </si>
  <si>
    <t>ORD-00831</t>
  </si>
  <si>
    <t>ORD-00121</t>
  </si>
  <si>
    <t>ORD-00452</t>
  </si>
  <si>
    <t>ORD-00662</t>
  </si>
  <si>
    <t>ORD-00486</t>
  </si>
  <si>
    <t>ORD-00856</t>
  </si>
  <si>
    <t>ORD-00099</t>
  </si>
  <si>
    <t>ORD-01028</t>
  </si>
  <si>
    <t>ORD-01172</t>
  </si>
  <si>
    <t>ORD-00994</t>
  </si>
  <si>
    <t>ORD-00669</t>
  </si>
  <si>
    <t>ORD-00152</t>
  </si>
  <si>
    <t>ORD-00105</t>
  </si>
  <si>
    <t>ORD-00745</t>
  </si>
  <si>
    <t>ORD-00371</t>
  </si>
  <si>
    <t>ORD-00705</t>
  </si>
  <si>
    <t>ORD-00201</t>
  </si>
  <si>
    <t>ORD-00224</t>
  </si>
  <si>
    <t>ORD-01089</t>
  </si>
  <si>
    <t>ORD-00692</t>
  </si>
  <si>
    <t>ORD-00761</t>
  </si>
  <si>
    <t>ORD-00495</t>
  </si>
  <si>
    <t>ORD-00453</t>
  </si>
  <si>
    <t>ORD-00141</t>
  </si>
  <si>
    <t>ORD-00592</t>
  </si>
  <si>
    <t>ORD-00168</t>
  </si>
  <si>
    <t>ORD-00469</t>
  </si>
  <si>
    <t>ORD-00312</t>
  </si>
  <si>
    <t>ORD-00056</t>
  </si>
  <si>
    <t>ORD-00595</t>
  </si>
  <si>
    <t>ORD-00332</t>
  </si>
  <si>
    <t>ORD-00135</t>
  </si>
  <si>
    <t>ORD-00885</t>
  </si>
  <si>
    <t>ORD-00404</t>
  </si>
  <si>
    <t>ORD-00656</t>
  </si>
  <si>
    <t>ORD-00799</t>
  </si>
  <si>
    <t>ORD-00646</t>
  </si>
  <si>
    <t>ORD-01118</t>
  </si>
  <si>
    <t>ORD-00541</t>
  </si>
  <si>
    <t>ORD-00074</t>
  </si>
  <si>
    <t>ORD-00650</t>
  </si>
  <si>
    <t>ORD-01063</t>
  </si>
  <si>
    <t>ORD-00887</t>
  </si>
  <si>
    <t>ORD-00874</t>
  </si>
  <si>
    <t>ORD-00433</t>
  </si>
  <si>
    <t>ORD-00872</t>
  </si>
  <si>
    <t>ORD-00742</t>
  </si>
  <si>
    <t>ORD-00786</t>
  </si>
  <si>
    <t>ORD-00023</t>
  </si>
  <si>
    <t>ORD-01094</t>
  </si>
  <si>
    <t>ORD-00307</t>
  </si>
  <si>
    <t>ORD-00402</t>
  </si>
  <si>
    <t>ORD-00500</t>
  </si>
  <si>
    <t>ORD-00184</t>
  </si>
  <si>
    <t>ORD-00054</t>
  </si>
  <si>
    <t>ORD-00231</t>
  </si>
  <si>
    <t>ORD-00216</t>
  </si>
  <si>
    <t>ORD-00157</t>
  </si>
  <si>
    <t>ORD-00342</t>
  </si>
  <si>
    <t>ORD-00926</t>
  </si>
  <si>
    <t>ORD-00386</t>
  </si>
  <si>
    <t>ORD-00299</t>
  </si>
  <si>
    <t>ORD-00507</t>
  </si>
  <si>
    <t>ORD-00647</t>
  </si>
  <si>
    <t>ORD-00899</t>
  </si>
  <si>
    <t>ORD-00588</t>
  </si>
  <si>
    <t>ORD-00281</t>
  </si>
  <si>
    <t>ORD-01196</t>
  </si>
  <si>
    <t>ORD-00934</t>
  </si>
  <si>
    <t>ORD-01062</t>
  </si>
  <si>
    <t>ORD-00707</t>
  </si>
  <si>
    <t>ORD-00614</t>
  </si>
  <si>
    <t>ORD-00036</t>
  </si>
  <si>
    <t>ORD-01037</t>
  </si>
  <si>
    <t>ORD-00150</t>
  </si>
  <si>
    <t>ORD-00291</t>
  </si>
  <si>
    <t>ORD-00744</t>
  </si>
  <si>
    <t>ORD-00151</t>
  </si>
  <si>
    <t>ORD-00467</t>
  </si>
  <si>
    <t>ORD-00512</t>
  </si>
  <si>
    <t>ORD-00225</t>
  </si>
  <si>
    <t>ORD-00304</t>
  </si>
  <si>
    <t>ORD-00149</t>
  </si>
  <si>
    <t>ORD-00324</t>
  </si>
  <si>
    <t>ORD-00472</t>
  </si>
  <si>
    <t>ORD-00552</t>
  </si>
  <si>
    <t>ORD-01041</t>
  </si>
  <si>
    <t>ORD-01133</t>
  </si>
  <si>
    <t>ORD-00110</t>
  </si>
  <si>
    <t>ORD-00228</t>
  </si>
  <si>
    <t>ORD-00712</t>
  </si>
  <si>
    <t>ORD-00845</t>
  </si>
  <si>
    <t>ORD-00680</t>
  </si>
  <si>
    <t>ORD-00972</t>
  </si>
  <si>
    <t>ORD-00130</t>
  </si>
  <si>
    <t>ORD-00696</t>
  </si>
  <si>
    <t>ORD-00374</t>
  </si>
  <si>
    <t>ORD-00328</t>
  </si>
  <si>
    <t>ORD-00997</t>
  </si>
  <si>
    <t>ORD-01042</t>
  </si>
  <si>
    <t>ORD-01184</t>
  </si>
  <si>
    <t>ORD-00549</t>
  </si>
  <si>
    <t>ORD-00605</t>
  </si>
  <si>
    <t>ORD-00064</t>
  </si>
  <si>
    <t>ORD-00319</t>
  </si>
  <si>
    <t>ORD-00955</t>
  </si>
  <si>
    <t>ORD-01140</t>
  </si>
  <si>
    <t>ORD-00390</t>
  </si>
  <si>
    <t>ORD-00321</t>
  </si>
  <si>
    <t>ORD-00791</t>
  </si>
  <si>
    <t>ORD-00377</t>
  </si>
  <si>
    <t>ORD-00973</t>
  </si>
  <si>
    <t>ORD-00828</t>
  </si>
  <si>
    <t>ORD-00607</t>
  </si>
  <si>
    <t>ORD-00349</t>
  </si>
  <si>
    <t>ORD-00981</t>
  </si>
  <si>
    <t>ORD-00115</t>
  </si>
  <si>
    <t>ORD-01044</t>
  </si>
  <si>
    <t>ORD-00298</t>
  </si>
  <si>
    <t>ORD-01081</t>
  </si>
  <si>
    <t>ORD-01173</t>
  </si>
  <si>
    <t>ORD-00229</t>
  </si>
  <si>
    <t>ORD-00239</t>
  </si>
  <si>
    <t>ORD-01193</t>
  </si>
  <si>
    <t>ORD-00576</t>
  </si>
  <si>
    <t>ORD-00658</t>
  </si>
  <si>
    <t>ORD-00391</t>
  </si>
  <si>
    <t>ORD-00735</t>
  </si>
  <si>
    <t>ORD-00907</t>
  </si>
  <si>
    <t>ORD-01087</t>
  </si>
  <si>
    <t>ORD-01011</t>
  </si>
  <si>
    <t>ORD-00067</t>
  </si>
  <si>
    <t>ORD-00616</t>
  </si>
  <si>
    <t>ORD-00590</t>
  </si>
  <si>
    <t>ORD-00230</t>
  </si>
  <si>
    <t>ORD-00341</t>
  </si>
  <si>
    <t>ORD-00992</t>
  </si>
  <si>
    <t>ORD-00093</t>
  </si>
  <si>
    <t>ORD-00956</t>
  </si>
  <si>
    <t>ORD-00848</t>
  </si>
  <si>
    <t>ORD-00823</t>
  </si>
  <si>
    <t>ORD-00548</t>
  </si>
  <si>
    <t>ORD-00140</t>
  </si>
  <si>
    <t>ORD-00759</t>
  </si>
  <si>
    <t>ORD-00127</t>
  </si>
  <si>
    <t>ORD-01175</t>
  </si>
  <si>
    <t>ORD-00807</t>
  </si>
  <si>
    <t>ORD-00861</t>
  </si>
  <si>
    <t>ORD-00264</t>
  </si>
  <si>
    <t>ORD-01093</t>
  </si>
  <si>
    <t>ORD-00226</t>
  </si>
  <si>
    <t>ORD-00288</t>
  </si>
  <si>
    <t>ORD-00393</t>
  </si>
  <si>
    <t>ORD-00335</t>
  </si>
  <si>
    <t>ORD-00165</t>
  </si>
  <si>
    <t>ORD-00733</t>
  </si>
  <si>
    <t>ORD-00446</t>
  </si>
  <si>
    <t>ORD-00109</t>
  </si>
  <si>
    <t>ORD-00976</t>
  </si>
  <si>
    <t>ORD-00805</t>
  </si>
  <si>
    <t>ORD-00676</t>
  </si>
  <si>
    <t>CUST-0044</t>
  </si>
  <si>
    <t>ORD-00772</t>
  </si>
  <si>
    <t>ORD-00943</t>
  </si>
  <si>
    <t>ORD-00884</t>
  </si>
  <si>
    <t>ORD-00250</t>
  </si>
  <si>
    <t>ORD-00247</t>
  </si>
  <si>
    <t>ORD-00554</t>
  </si>
  <si>
    <t>ORD-01018</t>
  </si>
  <si>
    <t>ORD-00494</t>
  </si>
  <si>
    <t>ORD-01036</t>
  </si>
  <si>
    <t>ORD-00457</t>
  </si>
  <si>
    <t>ORD-00958</t>
  </si>
  <si>
    <t>ORD-00479</t>
  </si>
  <si>
    <t>ORD-00562</t>
  </si>
  <si>
    <t>ORD-00690</t>
  </si>
  <si>
    <t>ORD-00309</t>
  </si>
  <si>
    <t>ORD-01195</t>
  </si>
  <si>
    <t>ORD-01101</t>
  </si>
  <si>
    <t>ORD-00131</t>
  </si>
  <si>
    <t>ORD-00517</t>
  </si>
  <si>
    <t>ORD-00734</t>
  </si>
  <si>
    <t>ORD-00586</t>
  </si>
  <si>
    <t>ORD-01162</t>
  </si>
  <si>
    <t>ORD-00968</t>
  </si>
  <si>
    <t>ORD-00730</t>
  </si>
  <si>
    <t>ORD-00200</t>
  </si>
  <si>
    <t>ORD-00815</t>
  </si>
  <si>
    <t>ORD-01148</t>
  </si>
  <si>
    <t>ORD-01120</t>
  </si>
  <si>
    <t>ORD-00983</t>
  </si>
  <si>
    <t>ORD-00853</t>
  </si>
  <si>
    <t>ORD-00841</t>
  </si>
  <si>
    <t>ORD-00833</t>
  </si>
  <si>
    <t>ORD-01149</t>
  </si>
  <si>
    <t>ORD-00439</t>
  </si>
  <si>
    <t>ORD-00357</t>
  </si>
  <si>
    <t>ORD-00084</t>
  </si>
  <si>
    <t>ORD-00628</t>
  </si>
  <si>
    <t>ORD-00757</t>
  </si>
  <si>
    <t>ORD-00410</t>
  </si>
  <si>
    <t>ORD-00980</t>
  </si>
  <si>
    <t>ORD-00622</t>
  </si>
  <si>
    <t>ORD-00240</t>
  </si>
  <si>
    <t>ORD-00455</t>
  </si>
  <si>
    <t>ORD-00695</t>
  </si>
  <si>
    <t>ORD-00334</t>
  </si>
  <si>
    <t>ORD-00754</t>
  </si>
  <si>
    <t>ORD-00047</t>
  </si>
  <si>
    <t>ORD-00369</t>
  </si>
  <si>
    <t>ORD-00649</t>
  </si>
  <si>
    <t>ORD-00018</t>
  </si>
  <si>
    <t>ORD-00330</t>
  </si>
  <si>
    <t>ORD-00654</t>
  </si>
  <si>
    <t>ORD-01054</t>
  </si>
  <si>
    <t>ORD-00193</t>
  </si>
  <si>
    <t>ORD-00677</t>
  </si>
  <si>
    <t>ORD-00424</t>
  </si>
  <si>
    <t>ORD-00528</t>
  </si>
  <si>
    <t>ORD-00487</t>
  </si>
  <si>
    <t>ORD-01083</t>
  </si>
  <si>
    <t>ORD-00703</t>
  </si>
  <si>
    <t>ORD-00634</t>
  </si>
  <si>
    <t>ORD-00463</t>
  </si>
  <si>
    <t>ORD-00378</t>
  </si>
  <si>
    <t>ORD-01045</t>
  </si>
  <si>
    <t>ORD-00835</t>
  </si>
  <si>
    <t>ORD-00977</t>
  </si>
  <si>
    <t>ORD-00717</t>
  </si>
  <si>
    <t>ORD-00287</t>
  </si>
  <si>
    <t>ORD-00544</t>
  </si>
  <si>
    <t>ORD-00126</t>
  </si>
  <si>
    <t>ORD-01021</t>
  </si>
  <si>
    <t>ORD-01059</t>
  </si>
  <si>
    <t>ORD-00143</t>
  </si>
  <si>
    <t>ORD-00743</t>
  </si>
  <si>
    <t>ORD-00412</t>
  </si>
  <si>
    <t>ORD-00961</t>
  </si>
  <si>
    <t>ORD-00468</t>
  </si>
  <si>
    <t>ORD-00004</t>
  </si>
  <si>
    <t>ORD-00103</t>
  </si>
  <si>
    <t>ORD-00826</t>
  </si>
  <si>
    <t>ORD-00339</t>
  </si>
  <si>
    <t>ORD-00365</t>
  </si>
  <si>
    <t>ORD-00059</t>
  </si>
  <si>
    <t>ORD-00626</t>
  </si>
  <si>
    <t>ORD-00388</t>
  </si>
  <si>
    <t>ORD-00409</t>
  </si>
  <si>
    <t>ORD-00889</t>
  </si>
  <si>
    <t>ORD-00370</t>
  </si>
  <si>
    <t>ORD-00246</t>
  </si>
  <si>
    <t>ORD-00837</t>
  </si>
  <si>
    <t>ORD-00323</t>
  </si>
  <si>
    <t>ORD-01186</t>
  </si>
  <si>
    <t>ORD-00699</t>
  </si>
  <si>
    <t>ORD-00380</t>
  </si>
  <si>
    <t>ORD-00345</t>
  </si>
  <si>
    <t>ORD-00440</t>
  </si>
  <si>
    <t>ORD-00619</t>
  </si>
  <si>
    <t>ORD-00346</t>
  </si>
  <si>
    <t>ORD-00776</t>
  </si>
  <si>
    <t>ORD-01163</t>
  </si>
  <si>
    <t>ORD-00498</t>
  </si>
  <si>
    <t>ORD-00892</t>
  </si>
  <si>
    <t>ORD-01074</t>
  </si>
  <si>
    <t>ORD-00533</t>
  </si>
  <si>
    <t>ORD-01191</t>
  </si>
  <si>
    <t>ORD-00385</t>
  </si>
  <si>
    <t>ORD-00913</t>
  </si>
  <si>
    <t>ORD-00811</t>
  </si>
  <si>
    <t>ORD-00535</t>
  </si>
  <si>
    <t>ORD-00344</t>
  </si>
  <si>
    <t>ORD-00954</t>
  </si>
  <si>
    <t>ORD-00043</t>
  </si>
  <si>
    <t>ORD-01053</t>
  </si>
  <si>
    <t>ORD-00597</t>
  </si>
  <si>
    <t>ORD-00682</t>
  </si>
  <si>
    <t>ORD-00008</t>
  </si>
  <si>
    <t>ORD-01152</t>
  </si>
  <si>
    <t>ORD-01181</t>
  </si>
  <si>
    <t>ORD-00063</t>
  </si>
  <si>
    <t>ORD-00010</t>
  </si>
  <si>
    <t>ORD-00104</t>
  </si>
  <si>
    <t>ORD-00779</t>
  </si>
  <si>
    <t>ORD-00689</t>
  </si>
  <si>
    <t>ORD-01169</t>
  </si>
  <si>
    <t>ORD-00490</t>
  </si>
  <si>
    <t>ORD-00241</t>
  </si>
  <si>
    <t>ORD-00600</t>
  </si>
  <si>
    <t>ORD-00394</t>
  </si>
  <si>
    <t>ORD-00351</t>
  </si>
  <si>
    <t>ORD-00066</t>
  </si>
  <si>
    <t>ORD-00284</t>
  </si>
  <si>
    <t>ORD-00128</t>
  </si>
  <si>
    <t>ORD-00387</t>
  </si>
  <si>
    <t>ORD-00088</t>
  </si>
  <si>
    <t>ORD-00301</t>
  </si>
  <si>
    <t>ORD-01143</t>
  </si>
  <si>
    <t>ORD-01079</t>
  </si>
  <si>
    <t>ORD-00974</t>
  </si>
  <si>
    <t>ORD-00890</t>
  </si>
  <si>
    <t>ORD-01019</t>
  </si>
  <si>
    <t>ORD-00640</t>
  </si>
  <si>
    <t>ORD-00642</t>
  </si>
  <si>
    <t>ORD-01113</t>
  </si>
  <si>
    <t>ORD-00893</t>
  </si>
  <si>
    <t>ORD-00266</t>
  </si>
  <si>
    <t>ORD-00197</t>
  </si>
  <si>
    <t>ORD-00778</t>
  </si>
  <si>
    <t>ORD-01055</t>
  </si>
  <si>
    <t>ORD-01115</t>
  </si>
  <si>
    <t>ORD-01157</t>
  </si>
  <si>
    <t>ORD-00061</t>
  </si>
  <si>
    <t>ORD-00206</t>
  </si>
  <si>
    <t>ORD-01200</t>
  </si>
  <si>
    <t>ORD-00218</t>
  </si>
  <si>
    <t>ORD-00969</t>
  </si>
  <si>
    <t>ORD-01070</t>
  </si>
  <si>
    <t>ORD-00462</t>
  </si>
  <si>
    <t>ORD-00113</t>
  </si>
  <si>
    <t>ORD-00515</t>
  </si>
  <si>
    <t>ORD-00187</t>
  </si>
  <si>
    <t>ORD-01161</t>
  </si>
  <si>
    <t>ORD-00203</t>
  </si>
  <si>
    <t>ORD-01194</t>
  </si>
  <si>
    <t>ORD-00721</t>
  </si>
  <si>
    <t>ORD-00191</t>
  </si>
  <si>
    <t>ORD-00384</t>
  </si>
  <si>
    <t>ORD-00181</t>
  </si>
  <si>
    <t>ORD-00175</t>
  </si>
  <si>
    <t>ORD-00442</t>
  </si>
  <si>
    <t>ORD-00751</t>
  </si>
  <si>
    <t>ORD-00296</t>
  </si>
  <si>
    <t>ORD-00671</t>
  </si>
  <si>
    <t>ORD-00427</t>
  </si>
  <si>
    <t>ORD-00538</t>
  </si>
  <si>
    <t>ORD-00428</t>
  </si>
  <si>
    <t>ORD-01039</t>
  </si>
  <si>
    <t>ORD-00793</t>
  </si>
  <si>
    <t>ORD-00072</t>
  </si>
  <si>
    <t>ORD-00100</t>
  </si>
  <si>
    <t>ORD-00002</t>
  </si>
  <si>
    <t>ORD-00504</t>
  </si>
  <si>
    <t>ORD-00836</t>
  </si>
  <si>
    <t>ORD-00173</t>
  </si>
  <si>
    <t>ORD-00007</t>
  </si>
  <si>
    <t>ORD-00984</t>
  </si>
  <si>
    <t>ORD-00716</t>
  </si>
  <si>
    <t>ORD-01056</t>
  </si>
  <si>
    <t>ORD-00966</t>
  </si>
  <si>
    <t>ORD-00953</t>
  </si>
  <si>
    <t>ORD-00215</t>
  </si>
  <si>
    <t>ORD-01057</t>
  </si>
  <si>
    <t>ORD-00276</t>
  </si>
  <si>
    <t>ORD-00147</t>
  </si>
  <si>
    <t>ORD-00834</t>
  </si>
  <si>
    <t>ORD-00353</t>
  </si>
  <si>
    <t>ORD-00817</t>
  </si>
  <si>
    <t>ORD-01182</t>
  </si>
  <si>
    <t>ORD-00587</t>
  </si>
  <si>
    <t>ORD-01178</t>
  </si>
  <si>
    <t>ORD-00112</t>
  </si>
  <si>
    <t>ORD-00092</t>
  </si>
  <si>
    <t>ORD-00891</t>
  </si>
  <si>
    <t>ORD-00746</t>
  </si>
  <si>
    <t>ORD-00947</t>
  </si>
  <si>
    <t>ORD-01004</t>
  </si>
  <si>
    <t>ORD-00771</t>
  </si>
  <si>
    <t>ORD-01134</t>
  </si>
  <si>
    <t>ORD-00752</t>
  </si>
  <si>
    <t>ORD-00316</t>
  </si>
  <si>
    <t>ORD-01005</t>
  </si>
  <si>
    <t>ORD-00392</t>
  </si>
  <si>
    <t>ORD-00908</t>
  </si>
  <si>
    <t>ORD-00675</t>
  </si>
  <si>
    <t>ORD-00546</t>
  </si>
  <si>
    <t>ORD-00513</t>
  </si>
  <si>
    <t>ORD-00310</t>
  </si>
  <si>
    <t>ORD-00709</t>
  </si>
  <si>
    <t>ORD-00259</t>
  </si>
  <si>
    <t>ORD-01141</t>
  </si>
  <si>
    <t>ORD-00170</t>
  </si>
  <si>
    <t>ORD-00434</t>
  </si>
  <si>
    <t>ORD-00898</t>
  </si>
  <si>
    <t>ORD-00194</t>
  </si>
  <si>
    <t>ORD-00932</t>
  </si>
  <si>
    <t>ORD-00531</t>
  </si>
  <si>
    <t>ORD-00083</t>
  </si>
  <si>
    <t>ORD-00923</t>
  </si>
  <si>
    <t>ORD-00998</t>
  </si>
  <si>
    <t>ORD-00601</t>
  </si>
  <si>
    <t>ORD-00724</t>
  </si>
  <si>
    <t>ORD-00408</t>
  </si>
  <si>
    <t>wireless mouse</t>
  </si>
  <si>
    <t>ORD-00939</t>
  </si>
  <si>
    <t>ORD-00729</t>
  </si>
  <si>
    <t>ORD-00660</t>
  </si>
  <si>
    <t>ORD-00095</t>
  </si>
  <si>
    <t>ORD-01086</t>
  </si>
  <si>
    <t>ORD-00120</t>
  </si>
  <si>
    <t>ORD-01124</t>
  </si>
  <si>
    <t>ORD-00166</t>
  </si>
  <si>
    <t>ORD-00862</t>
  </si>
  <si>
    <t>ORD-01137</t>
  </si>
  <si>
    <t>ORD-00975</t>
  </si>
  <si>
    <t>ORD-00593</t>
  </si>
  <si>
    <t>ORD-00617</t>
  </si>
  <si>
    <t>ORD-00254</t>
  </si>
  <si>
    <t>ORD-00261</t>
  </si>
  <si>
    <t>ORD-00302</t>
  </si>
  <si>
    <t>ORD-00933</t>
  </si>
  <si>
    <t>ORD-00536</t>
  </si>
  <si>
    <t>ORD-00303</t>
  </si>
  <si>
    <t>ORD-00741</t>
  </si>
  <si>
    <t>ORD-00071</t>
  </si>
  <si>
    <t>ORD-00979</t>
  </si>
  <si>
    <t>ORD-01135</t>
  </si>
  <si>
    <t>ORD-00506</t>
  </si>
  <si>
    <t>ORD-01103</t>
  </si>
  <si>
    <t>ORD-00790</t>
  </si>
  <si>
    <t>ORD-00119</t>
  </si>
  <si>
    <t>ORD-00755</t>
  </si>
  <si>
    <t>keyboard</t>
  </si>
  <si>
    <t>ORD-01001</t>
  </si>
  <si>
    <t>ORD-00714</t>
  </si>
  <si>
    <t>ORD-00523</t>
  </si>
  <si>
    <t>ORD-00894</t>
  </si>
  <si>
    <t>ORD-00398</t>
  </si>
  <si>
    <t>ORD-00333</t>
  </si>
  <si>
    <t>ORD-00789</t>
  </si>
  <si>
    <t>ORD-01165</t>
  </si>
  <si>
    <t>ORD-00080</t>
  </si>
  <si>
    <t>ORD-00838</t>
  </si>
  <si>
    <t>ORD-00146</t>
  </si>
  <si>
    <t>ORD-00631</t>
  </si>
  <si>
    <t>ORD-01003</t>
  </si>
  <si>
    <t>ORD-00787</t>
  </si>
  <si>
    <t>ORD-00765</t>
  </si>
  <si>
    <t>ORD-00809</t>
  </si>
  <si>
    <t>ORD-00829</t>
  </si>
  <si>
    <t>ORD-01122</t>
  </si>
  <si>
    <t>ORD-00767</t>
  </si>
  <si>
    <t>ORD-01026</t>
  </si>
  <si>
    <t>ORD-00027</t>
  </si>
  <si>
    <t>ORD-00009</t>
  </si>
  <si>
    <t>ORD-00317</t>
  </si>
  <si>
    <t>ORD-00401</t>
  </si>
  <si>
    <t>ORD-00962</t>
  </si>
  <si>
    <t>ORD-00280</t>
  </si>
  <si>
    <t>ORD-00683</t>
  </si>
  <si>
    <t>ORD-00148</t>
  </si>
  <si>
    <t>ORD-00985</t>
  </si>
  <si>
    <t>ORD-00769</t>
  </si>
  <si>
    <t>ORD-00581</t>
  </si>
  <si>
    <t>ORD-00929</t>
  </si>
  <si>
    <t>ORD-00627</t>
  </si>
  <si>
    <t>ORD-00950</t>
  </si>
  <si>
    <t>ORD-00780</t>
  </si>
  <si>
    <t>ORD-00527</t>
  </si>
  <si>
    <t>ORD-01179</t>
  </si>
  <si>
    <t>ORD-00313</t>
  </si>
  <si>
    <t>ORD-00615</t>
  </si>
  <si>
    <t>ORD-00171</t>
  </si>
  <si>
    <t>ORD-00876</t>
  </si>
  <si>
    <t>ORD-01129</t>
  </si>
  <si>
    <t>ORD-00041</t>
  </si>
  <si>
    <t>ORD-01177</t>
  </si>
  <si>
    <t>ORD-00320</t>
  </si>
  <si>
    <t>ORD-00888</t>
  </si>
  <si>
    <t>ORD-01035</t>
  </si>
  <si>
    <t>ORD-00866</t>
  </si>
  <si>
    <t>ORD-00904</t>
  </si>
  <si>
    <t>ORD-00965</t>
  </si>
  <si>
    <t>ORD-00774</t>
  </si>
  <si>
    <t>ORD-00816</t>
  </si>
  <si>
    <t>ORD-00737</t>
  </si>
  <si>
    <t>ORD-00164</t>
  </si>
  <si>
    <t>ORD-00986</t>
  </si>
  <si>
    <t>ORD-00557</t>
  </si>
  <si>
    <t>ORD-00413</t>
  </si>
  <si>
    <t>ORD-00919</t>
  </si>
  <si>
    <t>ORD-00585</t>
  </si>
  <si>
    <t>ORD-00621</t>
  </si>
  <si>
    <t>ORD-00510</t>
  </si>
  <si>
    <t>ORD-00362</t>
  </si>
  <si>
    <t>ORD-00869</t>
  </si>
  <si>
    <t>ORD-00502</t>
  </si>
  <si>
    <t>ORD-00405</t>
  </si>
  <si>
    <t>ORD-00337</t>
  </si>
  <si>
    <t>ORD-00638</t>
  </si>
  <si>
    <t>ORD-00957</t>
  </si>
  <si>
    <t>ORD-00873</t>
  </si>
  <si>
    <t>ORD-00161</t>
  </si>
  <si>
    <t>ORD-01040</t>
  </si>
  <si>
    <t>ORD-00484</t>
  </si>
  <si>
    <t>ORD-01117</t>
  </si>
  <si>
    <t>ORD-00188</t>
  </si>
  <si>
    <t>ORD-00258</t>
  </si>
  <si>
    <t>ORD-01151</t>
  </si>
  <si>
    <t>ORD-00290</t>
  </si>
  <si>
    <t>ORD-00107</t>
  </si>
  <si>
    <t>ORD-00395</t>
  </si>
  <si>
    <t>ORD-00144</t>
  </si>
  <si>
    <t>ORD-01007</t>
  </si>
  <si>
    <t>ORD-00133</t>
  </si>
  <si>
    <t>ORD-00013</t>
  </si>
  <si>
    <t>ORD-00906</t>
  </si>
  <si>
    <t>ORD-00376</t>
  </si>
  <si>
    <t>ORD-00659</t>
  </si>
  <si>
    <t>ORD-01068</t>
  </si>
  <si>
    <t>ORD-00782</t>
  </si>
  <si>
    <t>ORD-00456</t>
  </si>
  <si>
    <t>ORD-00509</t>
  </si>
  <si>
    <t>ORD-00111</t>
  </si>
  <si>
    <t>ORD-01105</t>
  </si>
  <si>
    <t>ORD-00422</t>
  </si>
  <si>
    <t>ORD-00497</t>
  </si>
  <si>
    <t>ORD-00702</t>
  </si>
  <si>
    <t>ORD-00679</t>
  </si>
  <si>
    <t>ORD-00470</t>
  </si>
  <si>
    <t>ORD-00049</t>
  </si>
  <si>
    <t>ORD-00591</t>
  </si>
  <si>
    <t>ORD-00850</t>
  </si>
  <si>
    <t>ORD-01067</t>
  </si>
  <si>
    <t>ORD-00082</t>
  </si>
  <si>
    <t>ORD-00651</t>
  </si>
  <si>
    <t>ORD-00570</t>
  </si>
  <si>
    <t>ORD-00275</t>
  </si>
  <si>
    <t>ORD-00674</t>
  </si>
  <si>
    <t>ORD-00909</t>
  </si>
  <si>
    <t>ORD-00488</t>
  </si>
  <si>
    <t>ORD-00078</t>
  </si>
  <si>
    <t>ORD-00419</t>
  </si>
  <si>
    <t>ORD-00770</t>
  </si>
  <si>
    <t>ORD-00311</t>
  </si>
  <si>
    <t>ORD-00414</t>
  </si>
  <si>
    <t>ORD-00608</t>
  </si>
  <si>
    <t>ORD-01022</t>
  </si>
  <si>
    <t>ORD-00768</t>
  </si>
  <si>
    <t>ORD-00282</t>
  </si>
  <si>
    <t>ORD-00123</t>
  </si>
  <si>
    <t>ORD-00163</t>
  </si>
  <si>
    <t>ORD-00499</t>
  </si>
  <si>
    <t>ORD-00878</t>
  </si>
  <si>
    <t>ORD-00485</t>
  </si>
  <si>
    <t>ORD-00633</t>
  </si>
  <si>
    <t>ORD-00255</t>
  </si>
  <si>
    <t>ORD-00044</t>
  </si>
  <si>
    <t>ORD-01170</t>
  </si>
  <si>
    <t>ORD-00028</t>
  </si>
  <si>
    <t>ORD-01032</t>
  </si>
  <si>
    <t>ORD-00477</t>
  </si>
  <si>
    <t>ORD-01047</t>
  </si>
  <si>
    <t>ORD-00784</t>
  </si>
  <si>
    <t>ORD-00920</t>
  </si>
  <si>
    <t>ORD-00037</t>
  </si>
  <si>
    <t>ORD-00687</t>
  </si>
  <si>
    <t>ORD-00139</t>
  </si>
  <si>
    <t>ORD-00988</t>
  </si>
  <si>
    <t>ORD-00652</t>
  </si>
  <si>
    <t>ORD-00360</t>
  </si>
  <si>
    <t>ORD-00681</t>
  </si>
  <si>
    <t>ORD-00273</t>
  </si>
  <si>
    <t>ORD-00796</t>
  </si>
  <si>
    <t>ORD-00665</t>
  </si>
  <si>
    <t>ORD-00195</t>
  </si>
  <si>
    <t>ORD-00516</t>
  </si>
  <si>
    <t>ORD-00352</t>
  </si>
  <si>
    <t>ORD-01166</t>
  </si>
  <si>
    <t>ORD-01099</t>
  </si>
  <si>
    <t>ORD-00209</t>
  </si>
  <si>
    <t>ORD-01024</t>
  </si>
  <si>
    <t>ORD-00618</t>
  </si>
  <si>
    <t>ORD-00842</t>
  </si>
  <si>
    <t>ORD-00448</t>
  </si>
  <si>
    <t>ORD-00138</t>
  </si>
  <si>
    <t>ORD-00090</t>
  </si>
  <si>
    <t>ORD-00756</t>
  </si>
  <si>
    <t>ORD-00571</t>
  </si>
  <si>
    <t>ORD-00136</t>
  </si>
  <si>
    <t>ORD-00451</t>
  </si>
  <si>
    <t>ORD-00940</t>
  </si>
  <si>
    <t>ORD-00436</t>
  </si>
  <si>
    <t>ORD-00798</t>
  </si>
  <si>
    <t>ORD-00025</t>
  </si>
  <si>
    <t>ORD-00648</t>
  </si>
  <si>
    <t>ORD-00824</t>
  </si>
  <si>
    <t>ORD-00031</t>
  </si>
  <si>
    <t>ORD-00356</t>
  </si>
  <si>
    <t>ORD-00663</t>
  </si>
  <si>
    <t>ORD-00731</t>
  </si>
  <si>
    <t>ORD-00217</t>
  </si>
  <si>
    <t>ORD-00438</t>
  </si>
  <si>
    <t>ORD-00476</t>
  </si>
  <si>
    <t>ORD-00248</t>
  </si>
  <si>
    <t>ORD-00877</t>
  </si>
  <si>
    <t>ORD-00810</t>
  </si>
  <si>
    <t>ORD-01110</t>
  </si>
  <si>
    <t>ORD-00425</t>
  </si>
  <si>
    <t>ORD-00389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</si>
</sst>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38"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4.9989318521683403E-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9" formatCode="m/d/yyyy"/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60262-7F63-444E-B4E0-BB0C443B2FF5}" name="Cleaned_Data4" displayName="Cleaned_Data4" ref="A1:M1201" totalsRowShown="0" headerRowDxfId="37">
  <autoFilter ref="A1:M1201" xr:uid="{54460262-7F63-444E-B4E0-BB0C443B2FF5}"/>
  <tableColumns count="13">
    <tableColumn id="1" xr3:uid="{8CC11B69-A060-4EDA-9F95-3784909582CF}" name="Order_ID" dataDxfId="36"/>
    <tableColumn id="2" xr3:uid="{2AD1EEB1-66B0-43D2-BAE5-BA77BC7BDCEA}" name="Customer_ID" dataDxfId="35"/>
    <tableColumn id="3" xr3:uid="{64960F05-5270-49DA-AEB8-E2762E9127CD}" name="Order_Date" dataDxfId="34"/>
    <tableColumn id="4" xr3:uid="{C009FA63-17CB-4344-A2D8-970B6714CF31}" name="Product" dataDxfId="33"/>
    <tableColumn id="5" xr3:uid="{24D65801-794C-4C0C-94E2-1EE006FDADE5}" name="Category" dataDxfId="32"/>
    <tableColumn id="6" xr3:uid="{B610A871-CFFE-4ADB-9408-F6DCEF36F74A}" name="Quantity" dataDxfId="31"/>
    <tableColumn id="7" xr3:uid="{B3E2C259-E407-4F99-94E6-9ABF5BA20BAF}" name="Unit_Price" dataDxfId="30"/>
    <tableColumn id="8" xr3:uid="{4582329F-3E6F-4DCE-80BE-7FCC68658164}" name="Sales_Amount" dataDxfId="29"/>
    <tableColumn id="9" xr3:uid="{AD9E2276-215F-4207-93CF-C0968FE996A3}" name="Unit_Cost" dataDxfId="28"/>
    <tableColumn id="10" xr3:uid="{33D7C38C-32B3-431B-94B3-D8ABDD81F944}" name="Profit" dataDxfId="27"/>
    <tableColumn id="11" xr3:uid="{725AFEBA-EF55-4428-8D62-10DBF351A9A2}" name="Region" dataDxfId="26"/>
    <tableColumn id="12" xr3:uid="{3E614384-3A4E-4947-8638-10F2B929DF37}" name="Sales_Channel" dataDxfId="25"/>
    <tableColumn id="13" xr3:uid="{0359D59B-7F40-4C9A-AB87-94D8638F63EB}" name="Salesperson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8D76-6121-40CD-961C-19150B31DF06}">
  <dimension ref="A1:M1201"/>
  <sheetViews>
    <sheetView tabSelected="1" topLeftCell="H1" workbookViewId="0">
      <selection activeCell="N1" sqref="N1:N1048576"/>
    </sheetView>
  </sheetViews>
  <sheetFormatPr defaultRowHeight="14.5"/>
  <cols>
    <col min="1" max="1" width="15.26953125" style="4" customWidth="1"/>
    <col min="2" max="2" width="15.26953125" customWidth="1"/>
    <col min="3" max="3" width="16.6328125" bestFit="1" customWidth="1"/>
    <col min="4" max="4" width="21.81640625" style="4" customWidth="1"/>
    <col min="5" max="5" width="17.453125" style="4" customWidth="1"/>
    <col min="6" max="6" width="15.26953125" style="6" customWidth="1"/>
    <col min="7" max="8" width="19.54296875" style="6" customWidth="1"/>
    <col min="9" max="10" width="16.36328125" style="6" customWidth="1"/>
    <col min="11" max="11" width="19.6328125" customWidth="1"/>
    <col min="12" max="12" width="17.453125" customWidth="1"/>
    <col min="13" max="13" width="15.26953125" customWidth="1"/>
  </cols>
  <sheetData>
    <row r="1" spans="1:13">
      <c r="A1" s="3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>
      <c r="A2" s="4" t="s">
        <v>13</v>
      </c>
      <c r="B2" t="s">
        <v>14</v>
      </c>
      <c r="C2" s="2">
        <v>45849</v>
      </c>
      <c r="D2" s="4" t="s">
        <v>15</v>
      </c>
      <c r="E2" s="4" t="s">
        <v>16</v>
      </c>
      <c r="F2" s="6">
        <v>3</v>
      </c>
      <c r="G2" s="6">
        <v>12500</v>
      </c>
      <c r="H2" s="6">
        <v>37500</v>
      </c>
      <c r="I2" s="6">
        <v>10110.5</v>
      </c>
      <c r="J2" s="6">
        <v>7168.5</v>
      </c>
      <c r="K2" t="s">
        <v>17</v>
      </c>
      <c r="L2" t="s">
        <v>18</v>
      </c>
      <c r="M2" t="s">
        <v>19</v>
      </c>
    </row>
    <row r="3" spans="1:13">
      <c r="A3" s="4" t="s">
        <v>20</v>
      </c>
      <c r="B3" t="s">
        <v>21</v>
      </c>
      <c r="C3" s="2">
        <v>46019</v>
      </c>
      <c r="D3" s="4" t="s">
        <v>22</v>
      </c>
      <c r="E3" s="4" t="s">
        <v>23</v>
      </c>
      <c r="F3" s="6">
        <v>5</v>
      </c>
      <c r="G3" s="6">
        <v>210000</v>
      </c>
      <c r="H3" s="6">
        <v>1050000</v>
      </c>
      <c r="I3" s="6">
        <v>152485.76999999999</v>
      </c>
      <c r="J3" s="6">
        <v>287571.15000000002</v>
      </c>
      <c r="K3" t="s">
        <v>24</v>
      </c>
      <c r="L3" t="s">
        <v>18</v>
      </c>
      <c r="M3" t="s">
        <v>25</v>
      </c>
    </row>
    <row r="4" spans="1:13">
      <c r="A4" s="4" t="s">
        <v>26</v>
      </c>
      <c r="B4" t="s">
        <v>27</v>
      </c>
      <c r="C4" s="2">
        <v>45982</v>
      </c>
      <c r="D4" s="4" t="s">
        <v>28</v>
      </c>
      <c r="E4" s="4" t="s">
        <v>23</v>
      </c>
      <c r="F4" s="6">
        <v>2</v>
      </c>
      <c r="G4" s="6">
        <v>220000</v>
      </c>
      <c r="H4" s="6">
        <v>440000</v>
      </c>
      <c r="I4" s="6">
        <v>154824.39000000001</v>
      </c>
      <c r="J4" s="6">
        <v>130351.22</v>
      </c>
      <c r="K4" t="s">
        <v>24</v>
      </c>
      <c r="L4" t="s">
        <v>29</v>
      </c>
      <c r="M4" t="s">
        <v>30</v>
      </c>
    </row>
    <row r="5" spans="1:13">
      <c r="A5" s="4" t="s">
        <v>31</v>
      </c>
      <c r="B5" t="s">
        <v>32</v>
      </c>
      <c r="C5" s="2">
        <v>45968</v>
      </c>
      <c r="D5" s="4" t="s">
        <v>22</v>
      </c>
      <c r="E5" s="4" t="s">
        <v>23</v>
      </c>
      <c r="F5" s="6">
        <v>6</v>
      </c>
      <c r="G5" s="6">
        <v>280000</v>
      </c>
      <c r="H5" s="6">
        <v>1680000</v>
      </c>
      <c r="I5" s="6">
        <v>221629.45</v>
      </c>
      <c r="J5" s="6">
        <v>350223.3</v>
      </c>
      <c r="K5" t="s">
        <v>33</v>
      </c>
      <c r="L5" t="s">
        <v>18</v>
      </c>
      <c r="M5" t="s">
        <v>34</v>
      </c>
    </row>
    <row r="6" spans="1:13">
      <c r="A6" s="4" t="s">
        <v>35</v>
      </c>
      <c r="B6" t="s">
        <v>36</v>
      </c>
      <c r="C6" s="2">
        <v>45851</v>
      </c>
      <c r="D6" s="4" t="s">
        <v>37</v>
      </c>
      <c r="E6" s="4" t="s">
        <v>16</v>
      </c>
      <c r="F6" s="6">
        <v>7</v>
      </c>
      <c r="G6" s="6">
        <v>12000</v>
      </c>
      <c r="H6" s="6">
        <v>84000</v>
      </c>
      <c r="I6" s="6">
        <v>7272.68</v>
      </c>
      <c r="J6" s="6">
        <v>33091.24</v>
      </c>
      <c r="K6" t="s">
        <v>33</v>
      </c>
      <c r="L6" t="s">
        <v>18</v>
      </c>
      <c r="M6" t="s">
        <v>38</v>
      </c>
    </row>
    <row r="7" spans="1:13">
      <c r="A7" s="4" t="s">
        <v>39</v>
      </c>
      <c r="B7" t="s">
        <v>40</v>
      </c>
      <c r="C7" s="2">
        <v>45777</v>
      </c>
      <c r="D7" s="4" t="s">
        <v>37</v>
      </c>
      <c r="E7" s="4" t="s">
        <v>16</v>
      </c>
      <c r="F7" s="6">
        <v>6</v>
      </c>
      <c r="G7" s="6">
        <v>12000</v>
      </c>
      <c r="H7" s="6">
        <v>72000</v>
      </c>
      <c r="I7" s="6">
        <v>9231.2900000000009</v>
      </c>
      <c r="J7" s="6">
        <v>16612.259999999998</v>
      </c>
      <c r="K7" t="s">
        <v>17</v>
      </c>
      <c r="L7" t="s">
        <v>29</v>
      </c>
      <c r="M7" t="s">
        <v>34</v>
      </c>
    </row>
    <row r="8" spans="1:13">
      <c r="A8" s="4" t="s">
        <v>41</v>
      </c>
      <c r="B8" t="s">
        <v>42</v>
      </c>
      <c r="C8" s="2">
        <v>45743</v>
      </c>
      <c r="D8" s="4" t="s">
        <v>22</v>
      </c>
      <c r="E8" s="4" t="s">
        <v>23</v>
      </c>
      <c r="F8" s="6">
        <v>6</v>
      </c>
      <c r="G8" s="6">
        <v>150000</v>
      </c>
      <c r="H8" s="6">
        <v>900000</v>
      </c>
      <c r="I8" s="6">
        <v>96184.18</v>
      </c>
      <c r="J8" s="6">
        <v>322894.92</v>
      </c>
      <c r="K8" t="s">
        <v>33</v>
      </c>
      <c r="L8" t="s">
        <v>18</v>
      </c>
      <c r="M8" t="s">
        <v>38</v>
      </c>
    </row>
    <row r="9" spans="1:13">
      <c r="A9" s="4" t="s">
        <v>43</v>
      </c>
      <c r="B9" t="s">
        <v>44</v>
      </c>
      <c r="C9" s="2">
        <v>45969</v>
      </c>
      <c r="D9" s="4" t="s">
        <v>45</v>
      </c>
      <c r="E9" s="4" t="s">
        <v>23</v>
      </c>
      <c r="F9" s="6">
        <v>12</v>
      </c>
      <c r="G9" s="6">
        <v>520000</v>
      </c>
      <c r="H9" s="6">
        <v>6240000</v>
      </c>
      <c r="I9" s="6">
        <v>391481.07</v>
      </c>
      <c r="J9" s="6">
        <v>1542227.16</v>
      </c>
      <c r="K9" t="s">
        <v>33</v>
      </c>
      <c r="L9" t="s">
        <v>18</v>
      </c>
      <c r="M9" t="s">
        <v>25</v>
      </c>
    </row>
    <row r="10" spans="1:13">
      <c r="A10" s="4" t="s">
        <v>46</v>
      </c>
      <c r="B10" t="s">
        <v>47</v>
      </c>
      <c r="C10" s="2">
        <v>45771</v>
      </c>
      <c r="D10" s="4" t="s">
        <v>48</v>
      </c>
      <c r="E10" s="4" t="s">
        <v>49</v>
      </c>
      <c r="F10" s="6">
        <v>7</v>
      </c>
      <c r="G10" s="6">
        <v>140000</v>
      </c>
      <c r="H10" s="6">
        <v>980000</v>
      </c>
      <c r="I10" s="6">
        <v>90445.17</v>
      </c>
      <c r="J10" s="6">
        <v>346883.81</v>
      </c>
      <c r="K10" t="s">
        <v>33</v>
      </c>
      <c r="L10" t="s">
        <v>29</v>
      </c>
      <c r="M10" t="s">
        <v>50</v>
      </c>
    </row>
    <row r="11" spans="1:13">
      <c r="A11" s="4" t="s">
        <v>51</v>
      </c>
      <c r="B11" t="s">
        <v>44</v>
      </c>
      <c r="C11" s="2">
        <v>45712</v>
      </c>
      <c r="D11" s="4" t="s">
        <v>52</v>
      </c>
      <c r="E11" s="4" t="s">
        <v>23</v>
      </c>
      <c r="F11" s="6">
        <v>7</v>
      </c>
      <c r="G11" s="6">
        <v>85000</v>
      </c>
      <c r="H11" s="6">
        <v>595000</v>
      </c>
      <c r="I11" s="6">
        <v>49665.47</v>
      </c>
      <c r="J11" s="6">
        <v>247341.71</v>
      </c>
      <c r="K11" t="s">
        <v>17</v>
      </c>
      <c r="L11" t="s">
        <v>53</v>
      </c>
      <c r="M11" t="s">
        <v>50</v>
      </c>
    </row>
    <row r="12" spans="1:13">
      <c r="A12" s="4" t="s">
        <v>54</v>
      </c>
      <c r="B12" t="s">
        <v>55</v>
      </c>
      <c r="C12" s="2">
        <v>46022</v>
      </c>
      <c r="D12" s="4" t="s">
        <v>56</v>
      </c>
      <c r="E12" s="4" t="s">
        <v>23</v>
      </c>
      <c r="F12" s="6">
        <v>7</v>
      </c>
      <c r="G12" s="6">
        <v>45000</v>
      </c>
      <c r="H12" s="6">
        <v>315000</v>
      </c>
      <c r="I12" s="6">
        <v>35097.269999999997</v>
      </c>
      <c r="J12" s="6">
        <v>69319.11</v>
      </c>
      <c r="K12" t="s">
        <v>24</v>
      </c>
      <c r="L12" t="s">
        <v>29</v>
      </c>
      <c r="M12" t="s">
        <v>34</v>
      </c>
    </row>
    <row r="13" spans="1:13">
      <c r="A13" s="4" t="s">
        <v>57</v>
      </c>
      <c r="B13" t="s">
        <v>58</v>
      </c>
      <c r="C13" s="2">
        <v>45947</v>
      </c>
      <c r="D13" s="4" t="s">
        <v>52</v>
      </c>
      <c r="E13" s="4" t="s">
        <v>23</v>
      </c>
      <c r="F13" s="6">
        <v>3</v>
      </c>
      <c r="G13" s="6">
        <v>45000</v>
      </c>
      <c r="H13" s="6">
        <v>135000</v>
      </c>
      <c r="I13" s="6">
        <v>33613.06</v>
      </c>
      <c r="J13" s="6">
        <v>34160.82</v>
      </c>
      <c r="K13" t="s">
        <v>24</v>
      </c>
      <c r="L13" t="s">
        <v>29</v>
      </c>
      <c r="M13" t="s">
        <v>38</v>
      </c>
    </row>
    <row r="14" spans="1:13">
      <c r="A14" s="4" t="s">
        <v>59</v>
      </c>
      <c r="B14" t="s">
        <v>60</v>
      </c>
      <c r="C14" s="2">
        <v>45993</v>
      </c>
      <c r="D14" s="4" t="s">
        <v>37</v>
      </c>
      <c r="E14" s="4" t="s">
        <v>16</v>
      </c>
      <c r="F14" s="6">
        <v>11</v>
      </c>
      <c r="G14" s="6">
        <v>18000</v>
      </c>
      <c r="H14" s="6">
        <v>198000</v>
      </c>
      <c r="I14" s="6">
        <v>14545.53</v>
      </c>
      <c r="J14" s="6">
        <v>37999.17</v>
      </c>
      <c r="K14" t="s">
        <v>17</v>
      </c>
      <c r="L14" t="s">
        <v>53</v>
      </c>
      <c r="M14" t="s">
        <v>34</v>
      </c>
    </row>
    <row r="15" spans="1:13">
      <c r="A15" s="4" t="s">
        <v>61</v>
      </c>
      <c r="B15" t="s">
        <v>62</v>
      </c>
      <c r="C15" s="2">
        <v>45729</v>
      </c>
      <c r="D15" s="4" t="s">
        <v>63</v>
      </c>
      <c r="E15" s="4" t="s">
        <v>16</v>
      </c>
      <c r="F15" s="6">
        <v>4</v>
      </c>
      <c r="G15" s="6">
        <v>5000</v>
      </c>
      <c r="H15" s="6">
        <v>20000</v>
      </c>
      <c r="I15" s="6">
        <v>3673.54</v>
      </c>
      <c r="J15" s="6">
        <v>5305.84</v>
      </c>
      <c r="K15" t="s">
        <v>33</v>
      </c>
      <c r="L15" t="s">
        <v>18</v>
      </c>
      <c r="M15" t="s">
        <v>25</v>
      </c>
    </row>
    <row r="16" spans="1:13">
      <c r="A16" s="4" t="s">
        <v>64</v>
      </c>
      <c r="B16" t="s">
        <v>65</v>
      </c>
      <c r="C16" s="2">
        <v>45884</v>
      </c>
      <c r="D16" s="4" t="s">
        <v>66</v>
      </c>
      <c r="E16" s="4" t="s">
        <v>49</v>
      </c>
      <c r="F16" s="6">
        <v>5</v>
      </c>
      <c r="G16" s="6">
        <v>175000</v>
      </c>
      <c r="H16" s="6">
        <v>875000</v>
      </c>
      <c r="I16" s="6">
        <v>143081.31</v>
      </c>
      <c r="J16" s="6">
        <v>159593.45000000001</v>
      </c>
      <c r="K16" t="s">
        <v>33</v>
      </c>
      <c r="L16" t="s">
        <v>18</v>
      </c>
      <c r="M16" t="s">
        <v>67</v>
      </c>
    </row>
    <row r="17" spans="1:13">
      <c r="A17" s="4" t="s">
        <v>68</v>
      </c>
      <c r="B17" t="s">
        <v>69</v>
      </c>
      <c r="C17" s="2">
        <v>45949</v>
      </c>
      <c r="D17" s="4" t="s">
        <v>70</v>
      </c>
      <c r="E17" s="4" t="s">
        <v>16</v>
      </c>
      <c r="F17" s="6">
        <v>8</v>
      </c>
      <c r="G17" s="6">
        <v>15000</v>
      </c>
      <c r="H17" s="6">
        <v>120000</v>
      </c>
      <c r="I17" s="6">
        <v>9838.98</v>
      </c>
      <c r="J17" s="6">
        <v>41288.160000000003</v>
      </c>
      <c r="K17" t="s">
        <v>71</v>
      </c>
      <c r="L17" t="s">
        <v>53</v>
      </c>
      <c r="M17" t="s">
        <v>30</v>
      </c>
    </row>
    <row r="18" spans="1:13">
      <c r="A18" s="4" t="s">
        <v>72</v>
      </c>
      <c r="B18" t="s">
        <v>73</v>
      </c>
      <c r="C18" s="2">
        <v>45863</v>
      </c>
      <c r="D18" s="4" t="s">
        <v>63</v>
      </c>
      <c r="E18" s="4" t="s">
        <v>16</v>
      </c>
      <c r="F18" s="6">
        <v>3</v>
      </c>
      <c r="G18" s="6">
        <v>5000</v>
      </c>
      <c r="H18" s="6">
        <v>15000</v>
      </c>
      <c r="I18" s="6">
        <v>2973.76</v>
      </c>
      <c r="J18" s="6">
        <v>6078.72</v>
      </c>
      <c r="K18" t="s">
        <v>17</v>
      </c>
      <c r="L18" t="s">
        <v>18</v>
      </c>
      <c r="M18" t="s">
        <v>38</v>
      </c>
    </row>
    <row r="19" spans="1:13">
      <c r="A19" s="4" t="s">
        <v>74</v>
      </c>
      <c r="B19" t="s">
        <v>75</v>
      </c>
      <c r="C19" s="2">
        <v>45991</v>
      </c>
      <c r="D19" s="4" t="s">
        <v>22</v>
      </c>
      <c r="E19" s="4" t="s">
        <v>23</v>
      </c>
      <c r="F19" s="6">
        <v>4</v>
      </c>
      <c r="G19" s="6">
        <v>210000</v>
      </c>
      <c r="H19" s="6">
        <v>840000</v>
      </c>
      <c r="I19" s="6">
        <v>152292.29</v>
      </c>
      <c r="J19" s="6">
        <v>230830.84</v>
      </c>
      <c r="K19" t="s">
        <v>71</v>
      </c>
      <c r="L19" t="s">
        <v>53</v>
      </c>
      <c r="M19" t="s">
        <v>30</v>
      </c>
    </row>
    <row r="20" spans="1:13">
      <c r="A20" s="4" t="s">
        <v>76</v>
      </c>
      <c r="B20" t="s">
        <v>77</v>
      </c>
      <c r="C20" s="2">
        <v>45798</v>
      </c>
      <c r="D20" s="4" t="s">
        <v>15</v>
      </c>
      <c r="E20" s="4" t="s">
        <v>16</v>
      </c>
      <c r="F20" s="6">
        <v>1</v>
      </c>
      <c r="G20" s="6">
        <v>8000</v>
      </c>
      <c r="H20" s="6">
        <v>8000</v>
      </c>
      <c r="I20" s="6">
        <v>5702.45</v>
      </c>
      <c r="J20" s="6">
        <v>2297.5500000000002</v>
      </c>
      <c r="K20" t="s">
        <v>71</v>
      </c>
      <c r="L20" t="s">
        <v>18</v>
      </c>
      <c r="M20" t="s">
        <v>34</v>
      </c>
    </row>
    <row r="21" spans="1:13">
      <c r="A21" s="4" t="s">
        <v>78</v>
      </c>
      <c r="B21" t="s">
        <v>79</v>
      </c>
      <c r="C21" s="2">
        <v>45966</v>
      </c>
      <c r="D21" s="4" t="s">
        <v>63</v>
      </c>
      <c r="E21" s="4" t="s">
        <v>16</v>
      </c>
      <c r="F21" s="6">
        <v>12</v>
      </c>
      <c r="G21" s="6">
        <v>3000</v>
      </c>
      <c r="H21" s="6">
        <v>36000</v>
      </c>
      <c r="I21" s="6">
        <v>2084.89</v>
      </c>
      <c r="J21" s="6">
        <v>10981.32</v>
      </c>
      <c r="K21" t="s">
        <v>80</v>
      </c>
      <c r="L21" t="s">
        <v>29</v>
      </c>
      <c r="M21" t="s">
        <v>19</v>
      </c>
    </row>
    <row r="22" spans="1:13">
      <c r="A22" s="4" t="s">
        <v>81</v>
      </c>
      <c r="B22" t="s">
        <v>82</v>
      </c>
      <c r="C22" s="2">
        <v>45700</v>
      </c>
      <c r="D22" s="4" t="s">
        <v>70</v>
      </c>
      <c r="E22" s="4" t="s">
        <v>16</v>
      </c>
      <c r="F22" s="6">
        <v>11</v>
      </c>
      <c r="G22" s="6">
        <v>35000</v>
      </c>
      <c r="H22" s="6">
        <v>385000</v>
      </c>
      <c r="I22" s="6">
        <v>24816.31</v>
      </c>
      <c r="J22" s="6">
        <v>112020.59</v>
      </c>
      <c r="K22" t="s">
        <v>24</v>
      </c>
      <c r="L22" t="s">
        <v>53</v>
      </c>
      <c r="M22" t="s">
        <v>19</v>
      </c>
    </row>
    <row r="23" spans="1:13">
      <c r="A23" s="4" t="s">
        <v>83</v>
      </c>
      <c r="B23" t="s">
        <v>84</v>
      </c>
      <c r="C23" s="2">
        <v>45845</v>
      </c>
      <c r="D23" s="4" t="s">
        <v>15</v>
      </c>
      <c r="E23" s="4" t="s">
        <v>16</v>
      </c>
      <c r="F23" s="6">
        <v>7</v>
      </c>
      <c r="G23" s="6">
        <v>8000</v>
      </c>
      <c r="H23" s="6">
        <v>56000</v>
      </c>
      <c r="I23" s="6">
        <v>6351.56</v>
      </c>
      <c r="J23" s="6">
        <v>11539.08</v>
      </c>
      <c r="K23" t="s">
        <v>24</v>
      </c>
      <c r="L23" t="s">
        <v>53</v>
      </c>
      <c r="M23" t="s">
        <v>30</v>
      </c>
    </row>
    <row r="24" spans="1:13">
      <c r="A24" s="4" t="s">
        <v>85</v>
      </c>
      <c r="B24" t="s">
        <v>86</v>
      </c>
      <c r="C24" s="2">
        <v>45750</v>
      </c>
      <c r="D24" s="4" t="s">
        <v>66</v>
      </c>
      <c r="E24" s="4" t="s">
        <v>49</v>
      </c>
      <c r="F24" s="6">
        <v>10</v>
      </c>
      <c r="G24" s="6">
        <v>120000</v>
      </c>
      <c r="H24" s="6">
        <v>1200000</v>
      </c>
      <c r="I24" s="6">
        <v>92039.93</v>
      </c>
      <c r="J24" s="6">
        <v>279600.7</v>
      </c>
      <c r="K24" t="s">
        <v>17</v>
      </c>
      <c r="L24" t="s">
        <v>18</v>
      </c>
      <c r="M24" t="s">
        <v>34</v>
      </c>
    </row>
    <row r="25" spans="1:13">
      <c r="A25" s="4" t="s">
        <v>87</v>
      </c>
      <c r="B25" t="s">
        <v>88</v>
      </c>
      <c r="C25" s="2">
        <v>45939</v>
      </c>
      <c r="D25" s="4" t="s">
        <v>15</v>
      </c>
      <c r="E25" s="4" t="s">
        <v>16</v>
      </c>
      <c r="F25" s="6">
        <v>7</v>
      </c>
      <c r="G25" s="6">
        <v>12500</v>
      </c>
      <c r="H25" s="6">
        <v>87500</v>
      </c>
      <c r="I25" s="6">
        <v>8262.5400000000009</v>
      </c>
      <c r="J25" s="6">
        <v>29662.22</v>
      </c>
      <c r="K25" t="s">
        <v>33</v>
      </c>
      <c r="L25" t="s">
        <v>18</v>
      </c>
      <c r="M25" t="s">
        <v>30</v>
      </c>
    </row>
    <row r="26" spans="1:13">
      <c r="A26" s="4" t="s">
        <v>89</v>
      </c>
      <c r="B26" t="s">
        <v>90</v>
      </c>
      <c r="C26" s="2">
        <v>45899</v>
      </c>
      <c r="D26" s="4" t="s">
        <v>70</v>
      </c>
      <c r="E26" s="4" t="s">
        <v>16</v>
      </c>
      <c r="F26" s="6">
        <v>8</v>
      </c>
      <c r="G26" s="6">
        <v>35000</v>
      </c>
      <c r="H26" s="6">
        <v>280000</v>
      </c>
      <c r="I26" s="6">
        <v>22526.04</v>
      </c>
      <c r="J26" s="6">
        <v>99791.679999999993</v>
      </c>
      <c r="K26" t="s">
        <v>33</v>
      </c>
      <c r="L26" t="s">
        <v>29</v>
      </c>
      <c r="M26" t="s">
        <v>50</v>
      </c>
    </row>
    <row r="27" spans="1:13">
      <c r="A27" s="4" t="s">
        <v>91</v>
      </c>
      <c r="B27" t="s">
        <v>92</v>
      </c>
      <c r="C27" s="2">
        <v>45852</v>
      </c>
      <c r="D27" s="4" t="s">
        <v>52</v>
      </c>
      <c r="E27" s="4" t="s">
        <v>23</v>
      </c>
      <c r="F27" s="6">
        <v>6</v>
      </c>
      <c r="G27" s="6">
        <v>85000</v>
      </c>
      <c r="H27" s="6">
        <v>510000</v>
      </c>
      <c r="I27" s="6">
        <v>53640.18</v>
      </c>
      <c r="J27" s="6">
        <v>188158.92</v>
      </c>
      <c r="K27" t="s">
        <v>24</v>
      </c>
      <c r="L27" t="s">
        <v>53</v>
      </c>
      <c r="M27" t="s">
        <v>50</v>
      </c>
    </row>
    <row r="28" spans="1:13">
      <c r="A28" s="4" t="s">
        <v>93</v>
      </c>
      <c r="B28" t="s">
        <v>94</v>
      </c>
      <c r="C28" s="2">
        <v>45906</v>
      </c>
      <c r="D28" s="4" t="s">
        <v>45</v>
      </c>
      <c r="E28" s="4" t="s">
        <v>23</v>
      </c>
      <c r="F28" s="6">
        <v>1</v>
      </c>
      <c r="G28" s="6">
        <v>450000</v>
      </c>
      <c r="H28" s="6">
        <v>450000</v>
      </c>
      <c r="I28" s="6">
        <v>353835.07</v>
      </c>
      <c r="J28" s="6">
        <v>96164.93</v>
      </c>
      <c r="K28" t="s">
        <v>24</v>
      </c>
      <c r="L28" t="s">
        <v>18</v>
      </c>
      <c r="M28" t="s">
        <v>19</v>
      </c>
    </row>
    <row r="29" spans="1:13">
      <c r="A29" s="4" t="s">
        <v>95</v>
      </c>
      <c r="B29" t="s">
        <v>96</v>
      </c>
      <c r="C29" s="2">
        <v>45770</v>
      </c>
      <c r="D29" s="4" t="s">
        <v>22</v>
      </c>
      <c r="E29" s="4" t="s">
        <v>23</v>
      </c>
      <c r="F29" s="6">
        <v>1</v>
      </c>
      <c r="G29" s="6">
        <v>150000</v>
      </c>
      <c r="H29" s="6">
        <v>150000</v>
      </c>
      <c r="I29" s="6">
        <v>112482.27</v>
      </c>
      <c r="J29" s="6">
        <v>37517.730000000003</v>
      </c>
      <c r="K29" t="s">
        <v>71</v>
      </c>
      <c r="L29" t="s">
        <v>53</v>
      </c>
      <c r="M29" t="s">
        <v>67</v>
      </c>
    </row>
    <row r="30" spans="1:13">
      <c r="A30" s="4" t="s">
        <v>97</v>
      </c>
      <c r="B30" t="s">
        <v>96</v>
      </c>
      <c r="C30" s="2">
        <v>45972</v>
      </c>
      <c r="D30" s="4" t="s">
        <v>48</v>
      </c>
      <c r="E30" s="4" t="s">
        <v>49</v>
      </c>
      <c r="F30" s="6">
        <v>7</v>
      </c>
      <c r="G30" s="6">
        <v>200000</v>
      </c>
      <c r="H30" s="6">
        <v>1400000</v>
      </c>
      <c r="I30" s="6">
        <v>150877.51999999999</v>
      </c>
      <c r="J30" s="6">
        <v>343857.36</v>
      </c>
      <c r="K30" t="s">
        <v>33</v>
      </c>
      <c r="L30" t="s">
        <v>53</v>
      </c>
      <c r="M30" t="s">
        <v>19</v>
      </c>
    </row>
    <row r="31" spans="1:13">
      <c r="A31" s="4" t="s">
        <v>98</v>
      </c>
      <c r="B31" t="s">
        <v>84</v>
      </c>
      <c r="C31" s="2">
        <v>46002</v>
      </c>
      <c r="D31" s="4" t="s">
        <v>15</v>
      </c>
      <c r="E31" s="4" t="s">
        <v>16</v>
      </c>
      <c r="F31" s="6">
        <v>12</v>
      </c>
      <c r="G31" s="6">
        <v>10000</v>
      </c>
      <c r="H31" s="6">
        <v>120000</v>
      </c>
      <c r="I31" s="6">
        <v>8004.84</v>
      </c>
      <c r="J31" s="6">
        <v>23941.919999999998</v>
      </c>
      <c r="K31" t="s">
        <v>17</v>
      </c>
      <c r="L31" t="s">
        <v>18</v>
      </c>
      <c r="M31" t="s">
        <v>50</v>
      </c>
    </row>
    <row r="32" spans="1:13">
      <c r="A32" s="4" t="s">
        <v>99</v>
      </c>
      <c r="B32" t="s">
        <v>100</v>
      </c>
      <c r="C32" s="2">
        <v>45787</v>
      </c>
      <c r="D32" s="4" t="s">
        <v>70</v>
      </c>
      <c r="E32" s="4" t="s">
        <v>16</v>
      </c>
      <c r="F32" s="6">
        <v>2</v>
      </c>
      <c r="G32" s="6">
        <v>22000</v>
      </c>
      <c r="H32" s="6">
        <v>44000</v>
      </c>
      <c r="I32" s="6">
        <v>12862.34</v>
      </c>
      <c r="J32" s="6">
        <v>18275.32</v>
      </c>
      <c r="K32" t="s">
        <v>17</v>
      </c>
      <c r="L32" t="s">
        <v>29</v>
      </c>
      <c r="M32" t="s">
        <v>50</v>
      </c>
    </row>
    <row r="33" spans="1:13">
      <c r="A33" s="4" t="s">
        <v>101</v>
      </c>
      <c r="B33" t="s">
        <v>88</v>
      </c>
      <c r="C33" s="2">
        <v>45752</v>
      </c>
      <c r="D33" s="4" t="s">
        <v>63</v>
      </c>
      <c r="E33" s="4" t="s">
        <v>16</v>
      </c>
      <c r="F33" s="6">
        <v>7</v>
      </c>
      <c r="G33" s="6">
        <v>5000</v>
      </c>
      <c r="H33" s="6">
        <v>35000</v>
      </c>
      <c r="I33" s="6">
        <v>3468.62</v>
      </c>
      <c r="J33" s="6">
        <v>10719.66</v>
      </c>
      <c r="K33" t="s">
        <v>71</v>
      </c>
      <c r="L33" t="s">
        <v>53</v>
      </c>
      <c r="M33" t="s">
        <v>67</v>
      </c>
    </row>
    <row r="34" spans="1:13">
      <c r="A34" s="4" t="s">
        <v>102</v>
      </c>
      <c r="B34" t="s">
        <v>103</v>
      </c>
      <c r="C34" s="2">
        <v>46006</v>
      </c>
      <c r="D34" s="4" t="s">
        <v>52</v>
      </c>
      <c r="E34" s="4" t="s">
        <v>23</v>
      </c>
      <c r="F34" s="6">
        <v>11</v>
      </c>
      <c r="G34" s="6">
        <v>85000</v>
      </c>
      <c r="H34" s="6">
        <v>935000</v>
      </c>
      <c r="I34" s="6">
        <v>54692.99</v>
      </c>
      <c r="J34" s="6">
        <v>333377.11</v>
      </c>
      <c r="K34" t="s">
        <v>71</v>
      </c>
      <c r="L34" t="s">
        <v>53</v>
      </c>
      <c r="M34" t="s">
        <v>19</v>
      </c>
    </row>
    <row r="35" spans="1:13">
      <c r="A35" s="4" t="s">
        <v>104</v>
      </c>
      <c r="B35" t="s">
        <v>105</v>
      </c>
      <c r="C35" s="2">
        <v>45803</v>
      </c>
      <c r="D35" s="4" t="s">
        <v>106</v>
      </c>
      <c r="E35" s="4" t="s">
        <v>23</v>
      </c>
      <c r="F35" s="6">
        <v>11</v>
      </c>
      <c r="G35" s="6">
        <v>200000</v>
      </c>
      <c r="H35" s="6">
        <v>2200000</v>
      </c>
      <c r="I35" s="6">
        <v>141533.32</v>
      </c>
      <c r="J35" s="6">
        <v>643133.48</v>
      </c>
      <c r="K35" t="s">
        <v>80</v>
      </c>
      <c r="L35" t="s">
        <v>53</v>
      </c>
      <c r="M35" t="s">
        <v>34</v>
      </c>
    </row>
    <row r="36" spans="1:13">
      <c r="A36" s="4" t="s">
        <v>107</v>
      </c>
      <c r="B36" t="s">
        <v>65</v>
      </c>
      <c r="C36" s="2">
        <v>45705</v>
      </c>
      <c r="D36" s="4" t="s">
        <v>15</v>
      </c>
      <c r="E36" s="4" t="s">
        <v>16</v>
      </c>
      <c r="F36" s="6">
        <v>12</v>
      </c>
      <c r="G36" s="6">
        <v>10000</v>
      </c>
      <c r="H36" s="6">
        <v>120000</v>
      </c>
      <c r="I36" s="6">
        <v>6033.43</v>
      </c>
      <c r="J36" s="6">
        <v>47598.84</v>
      </c>
      <c r="K36" t="s">
        <v>80</v>
      </c>
      <c r="L36" t="s">
        <v>29</v>
      </c>
      <c r="M36" t="s">
        <v>50</v>
      </c>
    </row>
    <row r="37" spans="1:13">
      <c r="A37" s="4" t="s">
        <v>108</v>
      </c>
      <c r="B37" t="s">
        <v>109</v>
      </c>
      <c r="C37" s="2">
        <v>45998</v>
      </c>
      <c r="D37" s="4" t="s">
        <v>45</v>
      </c>
      <c r="E37" s="4" t="s">
        <v>23</v>
      </c>
      <c r="F37" s="6">
        <v>6</v>
      </c>
      <c r="G37" s="6">
        <v>520000</v>
      </c>
      <c r="H37" s="6">
        <v>3120000</v>
      </c>
      <c r="I37" s="6">
        <v>320063.44</v>
      </c>
      <c r="J37" s="6">
        <v>1199619.3600000001</v>
      </c>
      <c r="K37" t="s">
        <v>33</v>
      </c>
      <c r="L37" t="s">
        <v>53</v>
      </c>
      <c r="M37" t="s">
        <v>25</v>
      </c>
    </row>
    <row r="38" spans="1:13">
      <c r="A38" s="4" t="s">
        <v>110</v>
      </c>
      <c r="B38" t="s">
        <v>111</v>
      </c>
      <c r="C38" s="2">
        <v>45876</v>
      </c>
      <c r="D38" s="4" t="s">
        <v>28</v>
      </c>
      <c r="E38" s="4" t="s">
        <v>23</v>
      </c>
      <c r="F38" s="6">
        <v>9</v>
      </c>
      <c r="G38" s="6">
        <v>180000</v>
      </c>
      <c r="H38" s="6">
        <v>1620000</v>
      </c>
      <c r="I38" s="6">
        <v>117050.37</v>
      </c>
      <c r="J38" s="6">
        <v>566546.67000000004</v>
      </c>
      <c r="K38" t="s">
        <v>17</v>
      </c>
      <c r="L38" t="s">
        <v>18</v>
      </c>
      <c r="M38" t="s">
        <v>34</v>
      </c>
    </row>
    <row r="39" spans="1:13">
      <c r="A39" s="4" t="s">
        <v>112</v>
      </c>
      <c r="B39" t="s">
        <v>113</v>
      </c>
      <c r="C39" s="2">
        <v>46015</v>
      </c>
      <c r="D39" s="4" t="s">
        <v>15</v>
      </c>
      <c r="E39" s="4" t="s">
        <v>16</v>
      </c>
      <c r="F39" s="6">
        <v>9</v>
      </c>
      <c r="G39" s="6">
        <v>8000</v>
      </c>
      <c r="H39" s="6">
        <v>72000</v>
      </c>
      <c r="I39" s="6">
        <v>5774.4</v>
      </c>
      <c r="J39" s="6">
        <v>20030.400000000001</v>
      </c>
      <c r="K39" t="s">
        <v>33</v>
      </c>
      <c r="L39" t="s">
        <v>29</v>
      </c>
      <c r="M39" t="s">
        <v>25</v>
      </c>
    </row>
    <row r="40" spans="1:13">
      <c r="A40" s="4" t="s">
        <v>114</v>
      </c>
      <c r="B40" t="s">
        <v>115</v>
      </c>
      <c r="C40" s="2">
        <v>45771</v>
      </c>
      <c r="D40" s="4" t="s">
        <v>66</v>
      </c>
      <c r="E40" s="4" t="s">
        <v>49</v>
      </c>
      <c r="F40" s="6">
        <v>4</v>
      </c>
      <c r="G40" s="6">
        <v>120000</v>
      </c>
      <c r="H40" s="6">
        <v>480000</v>
      </c>
      <c r="I40" s="6">
        <v>79670.16</v>
      </c>
      <c r="J40" s="6">
        <v>161319.35999999999</v>
      </c>
      <c r="K40" t="s">
        <v>71</v>
      </c>
      <c r="L40" t="s">
        <v>53</v>
      </c>
      <c r="M40" t="s">
        <v>38</v>
      </c>
    </row>
    <row r="41" spans="1:13">
      <c r="A41" s="4" t="s">
        <v>116</v>
      </c>
      <c r="B41" t="s">
        <v>117</v>
      </c>
      <c r="C41" s="2">
        <v>45658</v>
      </c>
      <c r="D41" s="4" t="s">
        <v>48</v>
      </c>
      <c r="E41" s="4" t="s">
        <v>49</v>
      </c>
      <c r="F41" s="6">
        <v>5</v>
      </c>
      <c r="G41" s="6">
        <v>140000</v>
      </c>
      <c r="H41" s="6">
        <v>700000</v>
      </c>
      <c r="I41" s="6">
        <v>88262.14</v>
      </c>
      <c r="J41" s="6">
        <v>258689.3</v>
      </c>
      <c r="K41" t="s">
        <v>33</v>
      </c>
      <c r="L41" t="s">
        <v>18</v>
      </c>
      <c r="M41" t="s">
        <v>19</v>
      </c>
    </row>
    <row r="42" spans="1:13">
      <c r="A42" s="4" t="s">
        <v>118</v>
      </c>
      <c r="B42" t="s">
        <v>21</v>
      </c>
      <c r="C42" s="2">
        <v>45781</v>
      </c>
      <c r="D42" s="4" t="s">
        <v>48</v>
      </c>
      <c r="E42" s="4" t="s">
        <v>49</v>
      </c>
      <c r="F42" s="6">
        <v>1</v>
      </c>
      <c r="G42" s="6">
        <v>200000</v>
      </c>
      <c r="H42" s="6">
        <v>200000</v>
      </c>
      <c r="I42" s="6">
        <v>135396.72</v>
      </c>
      <c r="J42" s="6">
        <v>64603.28</v>
      </c>
      <c r="K42" t="s">
        <v>71</v>
      </c>
      <c r="L42" t="s">
        <v>18</v>
      </c>
      <c r="M42" t="s">
        <v>67</v>
      </c>
    </row>
    <row r="43" spans="1:13">
      <c r="A43" s="4" t="s">
        <v>119</v>
      </c>
      <c r="B43" t="s">
        <v>62</v>
      </c>
      <c r="C43" s="2">
        <v>45750</v>
      </c>
      <c r="D43" s="4" t="s">
        <v>48</v>
      </c>
      <c r="E43" s="4" t="s">
        <v>49</v>
      </c>
      <c r="F43" s="6">
        <v>1</v>
      </c>
      <c r="G43" s="6">
        <v>140000</v>
      </c>
      <c r="H43" s="6">
        <v>140000</v>
      </c>
      <c r="I43" s="6">
        <v>107635.04</v>
      </c>
      <c r="J43" s="6">
        <v>32364.959999999999</v>
      </c>
      <c r="K43" t="s">
        <v>33</v>
      </c>
      <c r="L43" t="s">
        <v>29</v>
      </c>
      <c r="M43" t="s">
        <v>67</v>
      </c>
    </row>
    <row r="44" spans="1:13">
      <c r="A44" s="4" t="s">
        <v>120</v>
      </c>
      <c r="B44" t="s">
        <v>121</v>
      </c>
      <c r="C44" s="2">
        <v>45755</v>
      </c>
      <c r="D44" s="4" t="s">
        <v>66</v>
      </c>
      <c r="E44" s="4" t="s">
        <v>49</v>
      </c>
      <c r="F44" s="6">
        <v>12</v>
      </c>
      <c r="G44" s="6">
        <v>120000</v>
      </c>
      <c r="H44" s="6">
        <v>1440000</v>
      </c>
      <c r="I44" s="6">
        <v>72703.649999999994</v>
      </c>
      <c r="J44" s="6">
        <v>567556.19999999995</v>
      </c>
      <c r="K44" t="s">
        <v>17</v>
      </c>
      <c r="L44" t="s">
        <v>18</v>
      </c>
      <c r="M44" t="s">
        <v>34</v>
      </c>
    </row>
    <row r="45" spans="1:13">
      <c r="A45" s="4" t="s">
        <v>122</v>
      </c>
      <c r="B45" t="s">
        <v>123</v>
      </c>
      <c r="C45" s="2">
        <v>45704</v>
      </c>
      <c r="D45" s="4" t="s">
        <v>66</v>
      </c>
      <c r="E45" s="4" t="s">
        <v>49</v>
      </c>
      <c r="F45" s="6">
        <v>8</v>
      </c>
      <c r="G45" s="6">
        <v>120000</v>
      </c>
      <c r="H45" s="6">
        <v>960000</v>
      </c>
      <c r="I45" s="6">
        <v>81360.429999999993</v>
      </c>
      <c r="J45" s="6">
        <v>309116.56</v>
      </c>
      <c r="K45" t="s">
        <v>17</v>
      </c>
      <c r="L45" t="s">
        <v>53</v>
      </c>
      <c r="M45" t="s">
        <v>19</v>
      </c>
    </row>
    <row r="46" spans="1:13">
      <c r="A46" s="4" t="s">
        <v>124</v>
      </c>
      <c r="B46" t="s">
        <v>125</v>
      </c>
      <c r="C46" s="2">
        <v>46017</v>
      </c>
      <c r="D46" s="4" t="s">
        <v>63</v>
      </c>
      <c r="E46" s="4" t="s">
        <v>16</v>
      </c>
      <c r="F46" s="6">
        <v>2</v>
      </c>
      <c r="G46" s="6">
        <v>3000</v>
      </c>
      <c r="H46" s="6">
        <v>6000</v>
      </c>
      <c r="I46" s="6">
        <v>2385.75</v>
      </c>
      <c r="J46" s="6">
        <v>1228.5</v>
      </c>
      <c r="K46" t="s">
        <v>71</v>
      </c>
      <c r="L46" t="s">
        <v>18</v>
      </c>
      <c r="M46" t="s">
        <v>38</v>
      </c>
    </row>
    <row r="47" spans="1:13">
      <c r="A47" s="4" t="s">
        <v>126</v>
      </c>
      <c r="B47" t="s">
        <v>127</v>
      </c>
      <c r="C47" s="2">
        <v>45774</v>
      </c>
      <c r="D47" s="4" t="s">
        <v>106</v>
      </c>
      <c r="E47" s="4" t="s">
        <v>23</v>
      </c>
      <c r="F47" s="6">
        <v>8</v>
      </c>
      <c r="G47" s="6">
        <v>150000</v>
      </c>
      <c r="H47" s="6">
        <v>1200000</v>
      </c>
      <c r="I47" s="6">
        <v>121946.07</v>
      </c>
      <c r="J47" s="6">
        <v>224431.44</v>
      </c>
      <c r="K47" t="s">
        <v>17</v>
      </c>
      <c r="L47" t="s">
        <v>53</v>
      </c>
      <c r="M47" t="s">
        <v>19</v>
      </c>
    </row>
    <row r="48" spans="1:13">
      <c r="A48" s="4" t="s">
        <v>128</v>
      </c>
      <c r="B48" t="s">
        <v>129</v>
      </c>
      <c r="C48" s="2">
        <v>45839</v>
      </c>
      <c r="D48" s="4" t="s">
        <v>63</v>
      </c>
      <c r="E48" s="4" t="s">
        <v>16</v>
      </c>
      <c r="F48" s="6">
        <v>4</v>
      </c>
      <c r="G48" s="6">
        <v>7000</v>
      </c>
      <c r="H48" s="6">
        <v>28000</v>
      </c>
      <c r="I48" s="6">
        <v>4512.05</v>
      </c>
      <c r="J48" s="6">
        <v>9951.7999999999993</v>
      </c>
      <c r="K48" t="s">
        <v>71</v>
      </c>
      <c r="L48" t="s">
        <v>29</v>
      </c>
      <c r="M48" t="s">
        <v>38</v>
      </c>
    </row>
    <row r="49" spans="1:13">
      <c r="A49" s="4" t="s">
        <v>130</v>
      </c>
      <c r="B49" t="s">
        <v>123</v>
      </c>
      <c r="C49" s="2">
        <v>45726</v>
      </c>
      <c r="D49" s="4" t="s">
        <v>56</v>
      </c>
      <c r="E49" s="4" t="s">
        <v>23</v>
      </c>
      <c r="F49" s="6">
        <v>5</v>
      </c>
      <c r="G49" s="6">
        <v>30000</v>
      </c>
      <c r="H49" s="6">
        <v>150000</v>
      </c>
      <c r="I49" s="6">
        <v>22349.759999999998</v>
      </c>
      <c r="J49" s="6">
        <v>38251.199999999997</v>
      </c>
      <c r="K49" t="s">
        <v>24</v>
      </c>
      <c r="L49" t="s">
        <v>53</v>
      </c>
      <c r="M49" t="s">
        <v>67</v>
      </c>
    </row>
    <row r="50" spans="1:13">
      <c r="A50" s="4" t="s">
        <v>131</v>
      </c>
      <c r="B50" t="s">
        <v>121</v>
      </c>
      <c r="C50" s="2">
        <v>45724</v>
      </c>
      <c r="D50" s="4" t="s">
        <v>15</v>
      </c>
      <c r="E50" s="4" t="s">
        <v>16</v>
      </c>
      <c r="F50" s="6">
        <v>7</v>
      </c>
      <c r="G50" s="6">
        <v>12500</v>
      </c>
      <c r="H50" s="6">
        <v>87500</v>
      </c>
      <c r="I50" s="6">
        <v>9982.14</v>
      </c>
      <c r="J50" s="6">
        <v>17625.02</v>
      </c>
      <c r="K50" t="s">
        <v>17</v>
      </c>
      <c r="L50" t="s">
        <v>18</v>
      </c>
      <c r="M50" t="s">
        <v>50</v>
      </c>
    </row>
    <row r="51" spans="1:13">
      <c r="A51" s="4" t="s">
        <v>132</v>
      </c>
      <c r="B51" t="s">
        <v>133</v>
      </c>
      <c r="C51" s="2">
        <v>45885</v>
      </c>
      <c r="D51" s="4" t="s">
        <v>56</v>
      </c>
      <c r="E51" s="4" t="s">
        <v>23</v>
      </c>
      <c r="F51" s="6">
        <v>12</v>
      </c>
      <c r="G51" s="6">
        <v>45000</v>
      </c>
      <c r="H51" s="6">
        <v>540000</v>
      </c>
      <c r="I51" s="6">
        <v>34779.800000000003</v>
      </c>
      <c r="J51" s="6">
        <v>122642.4</v>
      </c>
      <c r="K51" t="s">
        <v>71</v>
      </c>
      <c r="L51" t="s">
        <v>18</v>
      </c>
      <c r="M51" t="s">
        <v>30</v>
      </c>
    </row>
    <row r="52" spans="1:13">
      <c r="A52" s="4" t="s">
        <v>134</v>
      </c>
      <c r="B52" t="s">
        <v>135</v>
      </c>
      <c r="C52" s="2">
        <v>45832</v>
      </c>
      <c r="D52" s="4" t="s">
        <v>63</v>
      </c>
      <c r="E52" s="4" t="s">
        <v>16</v>
      </c>
      <c r="F52" s="6">
        <v>7</v>
      </c>
      <c r="G52" s="6">
        <v>7000</v>
      </c>
      <c r="H52" s="6">
        <v>49000</v>
      </c>
      <c r="I52" s="6">
        <v>5015.79</v>
      </c>
      <c r="J52" s="6">
        <v>13889.47</v>
      </c>
      <c r="K52" t="s">
        <v>71</v>
      </c>
      <c r="L52" t="s">
        <v>53</v>
      </c>
      <c r="M52" t="s">
        <v>19</v>
      </c>
    </row>
    <row r="53" spans="1:13">
      <c r="A53" s="4" t="s">
        <v>136</v>
      </c>
      <c r="B53" t="s">
        <v>14</v>
      </c>
      <c r="C53" s="2">
        <v>45983</v>
      </c>
      <c r="D53" s="4" t="s">
        <v>70</v>
      </c>
      <c r="E53" s="4" t="s">
        <v>16</v>
      </c>
      <c r="F53" s="6">
        <f>Cleaned_Data4[[#This Row],[Sales_Amount]]/Cleaned_Data4[[#This Row],[Unit_Price]]</f>
        <v>6</v>
      </c>
      <c r="G53" s="6">
        <v>15000</v>
      </c>
      <c r="H53" s="6">
        <v>90000</v>
      </c>
      <c r="I53" s="6">
        <v>9743.48</v>
      </c>
      <c r="J53" s="6">
        <v>31539.119999999999</v>
      </c>
      <c r="K53" t="s">
        <v>17</v>
      </c>
      <c r="L53" t="s">
        <v>18</v>
      </c>
      <c r="M53" t="s">
        <v>50</v>
      </c>
    </row>
    <row r="54" spans="1:13">
      <c r="A54" s="4" t="s">
        <v>137</v>
      </c>
      <c r="B54" t="s">
        <v>138</v>
      </c>
      <c r="C54" s="2">
        <v>45989</v>
      </c>
      <c r="D54" s="4" t="s">
        <v>15</v>
      </c>
      <c r="E54" s="4" t="s">
        <v>16</v>
      </c>
      <c r="F54" s="6">
        <v>9</v>
      </c>
      <c r="G54" s="6">
        <v>12500</v>
      </c>
      <c r="H54" s="6">
        <v>112500</v>
      </c>
      <c r="I54" s="6">
        <v>7451.02</v>
      </c>
      <c r="J54" s="6">
        <v>45440.82</v>
      </c>
      <c r="K54" t="s">
        <v>71</v>
      </c>
      <c r="L54" t="s">
        <v>53</v>
      </c>
      <c r="M54" t="s">
        <v>19</v>
      </c>
    </row>
    <row r="55" spans="1:13">
      <c r="A55" s="4" t="s">
        <v>139</v>
      </c>
      <c r="B55" t="s">
        <v>133</v>
      </c>
      <c r="C55" s="2">
        <v>45899</v>
      </c>
      <c r="D55" s="4" t="s">
        <v>52</v>
      </c>
      <c r="E55" s="4" t="s">
        <v>23</v>
      </c>
      <c r="F55" s="6">
        <v>2</v>
      </c>
      <c r="G55" s="6">
        <v>85000</v>
      </c>
      <c r="H55" s="6">
        <v>170000</v>
      </c>
      <c r="I55" s="6">
        <v>62884.63</v>
      </c>
      <c r="J55" s="6">
        <v>44230.74</v>
      </c>
      <c r="K55" t="s">
        <v>80</v>
      </c>
      <c r="L55" t="s">
        <v>53</v>
      </c>
      <c r="M55" t="s">
        <v>30</v>
      </c>
    </row>
    <row r="56" spans="1:13">
      <c r="A56" s="4" t="s">
        <v>140</v>
      </c>
      <c r="B56" t="s">
        <v>141</v>
      </c>
      <c r="C56" s="2">
        <v>45950</v>
      </c>
      <c r="D56" s="4" t="s">
        <v>28</v>
      </c>
      <c r="E56" s="4" t="s">
        <v>23</v>
      </c>
      <c r="F56" s="6">
        <v>6</v>
      </c>
      <c r="G56" s="6">
        <v>180000</v>
      </c>
      <c r="H56" s="6">
        <v>1080000</v>
      </c>
      <c r="I56" s="6">
        <v>126088.17</v>
      </c>
      <c r="J56" s="6">
        <v>323470.98</v>
      </c>
      <c r="K56" t="s">
        <v>71</v>
      </c>
      <c r="L56" t="s">
        <v>53</v>
      </c>
      <c r="M56" t="s">
        <v>34</v>
      </c>
    </row>
    <row r="57" spans="1:13">
      <c r="A57" s="4" t="s">
        <v>142</v>
      </c>
      <c r="B57" t="s">
        <v>55</v>
      </c>
      <c r="C57" s="2">
        <v>45901</v>
      </c>
      <c r="D57" s="4" t="s">
        <v>28</v>
      </c>
      <c r="E57" s="4" t="s">
        <v>23</v>
      </c>
      <c r="F57" s="6">
        <v>11</v>
      </c>
      <c r="G57" s="6">
        <v>220000</v>
      </c>
      <c r="H57" s="6">
        <v>2420000</v>
      </c>
      <c r="I57" s="6">
        <v>137066.9</v>
      </c>
      <c r="J57" s="6">
        <v>912264.1</v>
      </c>
      <c r="K57" t="s">
        <v>80</v>
      </c>
      <c r="L57" t="s">
        <v>18</v>
      </c>
      <c r="M57" t="s">
        <v>67</v>
      </c>
    </row>
    <row r="58" spans="1:13">
      <c r="A58" s="4" t="s">
        <v>143</v>
      </c>
      <c r="B58" t="s">
        <v>113</v>
      </c>
      <c r="C58" s="2">
        <v>45955</v>
      </c>
      <c r="D58" s="4" t="s">
        <v>63</v>
      </c>
      <c r="E58" s="4" t="s">
        <v>16</v>
      </c>
      <c r="F58" s="6">
        <v>1</v>
      </c>
      <c r="G58" s="6">
        <v>7000</v>
      </c>
      <c r="H58" s="6">
        <v>7000</v>
      </c>
      <c r="I58" s="6">
        <v>4216.4799999999996</v>
      </c>
      <c r="J58" s="6">
        <v>2783.52</v>
      </c>
      <c r="K58" t="s">
        <v>24</v>
      </c>
      <c r="L58" t="s">
        <v>53</v>
      </c>
      <c r="M58" t="s">
        <v>34</v>
      </c>
    </row>
    <row r="59" spans="1:13">
      <c r="A59" s="4" t="s">
        <v>144</v>
      </c>
      <c r="B59" t="s">
        <v>109</v>
      </c>
      <c r="C59" s="2">
        <v>45798</v>
      </c>
      <c r="D59" s="4" t="s">
        <v>37</v>
      </c>
      <c r="E59" s="4" t="s">
        <v>16</v>
      </c>
      <c r="F59" s="6">
        <v>7</v>
      </c>
      <c r="G59" s="6">
        <v>18000</v>
      </c>
      <c r="H59" s="6">
        <v>126000</v>
      </c>
      <c r="I59" s="6">
        <v>14632.52</v>
      </c>
      <c r="J59" s="6">
        <v>23572.36</v>
      </c>
      <c r="K59" t="s">
        <v>71</v>
      </c>
      <c r="L59" t="s">
        <v>53</v>
      </c>
      <c r="M59" t="s">
        <v>30</v>
      </c>
    </row>
    <row r="60" spans="1:13">
      <c r="A60" s="4" t="s">
        <v>145</v>
      </c>
      <c r="B60" t="s">
        <v>146</v>
      </c>
      <c r="C60" s="2">
        <v>45815</v>
      </c>
      <c r="D60" s="4" t="s">
        <v>63</v>
      </c>
      <c r="E60" s="4" t="s">
        <v>16</v>
      </c>
      <c r="F60" s="6">
        <v>1</v>
      </c>
      <c r="G60" s="6">
        <v>7000</v>
      </c>
      <c r="H60" s="6">
        <v>7000</v>
      </c>
      <c r="I60" s="6">
        <v>5684.23</v>
      </c>
      <c r="J60" s="6">
        <v>1315.77</v>
      </c>
      <c r="K60" t="s">
        <v>17</v>
      </c>
      <c r="L60" t="s">
        <v>18</v>
      </c>
      <c r="M60" t="s">
        <v>38</v>
      </c>
    </row>
    <row r="61" spans="1:13">
      <c r="A61" s="4" t="s">
        <v>147</v>
      </c>
      <c r="B61" t="s">
        <v>88</v>
      </c>
      <c r="C61" s="2">
        <v>45821</v>
      </c>
      <c r="D61" s="4" t="s">
        <v>15</v>
      </c>
      <c r="E61" s="4" t="s">
        <v>16</v>
      </c>
      <c r="F61" s="6">
        <v>8</v>
      </c>
      <c r="G61" s="6">
        <f>Cleaned_Data4[[#This Row],[Sales_Amount]]/Cleaned_Data4[[#This Row],[Quantity]]</f>
        <v>12500</v>
      </c>
      <c r="H61" s="6">
        <v>100000</v>
      </c>
      <c r="I61" s="6">
        <v>7656.49</v>
      </c>
      <c r="J61" s="6">
        <v>38748.080000000002</v>
      </c>
      <c r="K61" t="s">
        <v>17</v>
      </c>
      <c r="L61" t="s">
        <v>29</v>
      </c>
      <c r="M61" t="s">
        <v>19</v>
      </c>
    </row>
    <row r="62" spans="1:13">
      <c r="A62" s="4" t="s">
        <v>148</v>
      </c>
      <c r="B62" t="s">
        <v>149</v>
      </c>
      <c r="C62" s="2">
        <v>45737</v>
      </c>
      <c r="D62" s="4" t="s">
        <v>56</v>
      </c>
      <c r="E62" s="4" t="s">
        <v>23</v>
      </c>
      <c r="F62" s="6">
        <v>7</v>
      </c>
      <c r="G62" s="6">
        <v>70000</v>
      </c>
      <c r="H62" s="6">
        <v>490000</v>
      </c>
      <c r="I62" s="6">
        <v>42263.56</v>
      </c>
      <c r="J62" s="6">
        <v>194155.08</v>
      </c>
      <c r="K62" t="s">
        <v>33</v>
      </c>
      <c r="L62" t="s">
        <v>29</v>
      </c>
      <c r="M62" t="s">
        <v>19</v>
      </c>
    </row>
    <row r="63" spans="1:13">
      <c r="A63" s="4" t="s">
        <v>150</v>
      </c>
      <c r="B63" t="s">
        <v>151</v>
      </c>
      <c r="C63" s="2">
        <v>45872</v>
      </c>
      <c r="D63" s="4" t="s">
        <v>22</v>
      </c>
      <c r="E63" s="4" t="s">
        <v>23</v>
      </c>
      <c r="F63" s="6">
        <v>4</v>
      </c>
      <c r="G63" s="6">
        <v>150000</v>
      </c>
      <c r="H63" s="6">
        <v>600000</v>
      </c>
      <c r="I63" s="6">
        <v>116285.2</v>
      </c>
      <c r="J63" s="6">
        <v>134859.20000000001</v>
      </c>
      <c r="K63" t="s">
        <v>24</v>
      </c>
      <c r="L63" t="s">
        <v>53</v>
      </c>
      <c r="M63" t="s">
        <v>34</v>
      </c>
    </row>
    <row r="64" spans="1:13">
      <c r="A64" s="4" t="s">
        <v>152</v>
      </c>
      <c r="B64" t="s">
        <v>40</v>
      </c>
      <c r="C64" s="2">
        <v>45704</v>
      </c>
      <c r="D64" s="4" t="s">
        <v>66</v>
      </c>
      <c r="E64" s="4" t="s">
        <v>49</v>
      </c>
      <c r="F64" s="6">
        <v>11</v>
      </c>
      <c r="G64" s="6">
        <v>90000</v>
      </c>
      <c r="H64" s="6">
        <v>990000</v>
      </c>
      <c r="I64" s="6">
        <v>66060.820000000007</v>
      </c>
      <c r="J64" s="6">
        <v>263330.98</v>
      </c>
      <c r="K64" t="s">
        <v>17</v>
      </c>
      <c r="L64" t="s">
        <v>53</v>
      </c>
      <c r="M64" t="s">
        <v>34</v>
      </c>
    </row>
    <row r="65" spans="1:13">
      <c r="A65" s="4" t="s">
        <v>153</v>
      </c>
      <c r="B65" t="s">
        <v>154</v>
      </c>
      <c r="C65" s="2">
        <v>46008</v>
      </c>
      <c r="D65" s="4" t="s">
        <v>63</v>
      </c>
      <c r="E65" s="4" t="s">
        <v>16</v>
      </c>
      <c r="F65" s="6">
        <v>2</v>
      </c>
      <c r="G65" s="6">
        <v>7000</v>
      </c>
      <c r="H65" s="6">
        <v>14000</v>
      </c>
      <c r="I65" s="6">
        <v>5516.48</v>
      </c>
      <c r="J65" s="6">
        <v>2967.04</v>
      </c>
      <c r="K65" t="s">
        <v>80</v>
      </c>
      <c r="L65" t="s">
        <v>53</v>
      </c>
      <c r="M65" t="s">
        <v>30</v>
      </c>
    </row>
    <row r="66" spans="1:13">
      <c r="A66" s="4" t="s">
        <v>155</v>
      </c>
      <c r="B66" t="s">
        <v>156</v>
      </c>
      <c r="C66" s="2">
        <v>45863</v>
      </c>
      <c r="D66" s="4" t="s">
        <v>22</v>
      </c>
      <c r="E66" s="4" t="s">
        <v>23</v>
      </c>
      <c r="F66" s="6">
        <v>9</v>
      </c>
      <c r="G66" s="6">
        <v>280000</v>
      </c>
      <c r="H66" s="6">
        <v>2520000</v>
      </c>
      <c r="I66" s="6">
        <v>224458.91</v>
      </c>
      <c r="J66" s="6">
        <v>499869.81</v>
      </c>
      <c r="K66" t="s">
        <v>80</v>
      </c>
      <c r="L66" t="s">
        <v>18</v>
      </c>
      <c r="M66" t="s">
        <v>67</v>
      </c>
    </row>
    <row r="67" spans="1:13">
      <c r="A67" s="4" t="s">
        <v>157</v>
      </c>
      <c r="B67" t="s">
        <v>138</v>
      </c>
      <c r="C67" s="2">
        <v>45676</v>
      </c>
      <c r="D67" s="4" t="s">
        <v>63</v>
      </c>
      <c r="E67" s="4" t="s">
        <v>16</v>
      </c>
      <c r="F67" s="6">
        <v>5</v>
      </c>
      <c r="G67" s="6">
        <v>5000</v>
      </c>
      <c r="H67" s="6">
        <v>25000</v>
      </c>
      <c r="I67" s="6">
        <v>3985.41</v>
      </c>
      <c r="J67" s="6">
        <v>5072.95</v>
      </c>
      <c r="K67" t="s">
        <v>33</v>
      </c>
      <c r="L67" t="s">
        <v>53</v>
      </c>
      <c r="M67" t="s">
        <v>67</v>
      </c>
    </row>
    <row r="68" spans="1:13">
      <c r="A68" s="4" t="s">
        <v>158</v>
      </c>
      <c r="B68" t="s">
        <v>159</v>
      </c>
      <c r="C68" s="2">
        <v>45727</v>
      </c>
      <c r="D68" s="4" t="s">
        <v>15</v>
      </c>
      <c r="E68" s="4" t="s">
        <v>16</v>
      </c>
      <c r="F68" s="6">
        <v>1</v>
      </c>
      <c r="G68" s="6">
        <v>8000</v>
      </c>
      <c r="H68" s="6">
        <v>8000</v>
      </c>
      <c r="I68" s="6">
        <v>4854.87</v>
      </c>
      <c r="J68" s="6">
        <v>3145.13</v>
      </c>
      <c r="K68" t="s">
        <v>71</v>
      </c>
      <c r="L68" t="s">
        <v>53</v>
      </c>
      <c r="M68" t="s">
        <v>50</v>
      </c>
    </row>
    <row r="69" spans="1:13">
      <c r="A69" s="4" t="s">
        <v>160</v>
      </c>
      <c r="B69" t="s">
        <v>161</v>
      </c>
      <c r="C69" s="2">
        <v>45946</v>
      </c>
      <c r="D69" s="4" t="s">
        <v>70</v>
      </c>
      <c r="E69" s="4" t="s">
        <v>16</v>
      </c>
      <c r="F69" s="6">
        <v>8</v>
      </c>
      <c r="G69" s="6">
        <v>15000</v>
      </c>
      <c r="H69" s="6">
        <v>120000</v>
      </c>
      <c r="I69" s="6">
        <v>11426.9</v>
      </c>
      <c r="J69" s="6">
        <v>28584.799999999999</v>
      </c>
      <c r="K69" t="s">
        <v>80</v>
      </c>
      <c r="L69" t="s">
        <v>18</v>
      </c>
      <c r="M69" t="s">
        <v>30</v>
      </c>
    </row>
    <row r="70" spans="1:13">
      <c r="A70" s="4" t="s">
        <v>162</v>
      </c>
      <c r="B70" t="s">
        <v>115</v>
      </c>
      <c r="C70" s="2">
        <v>45947</v>
      </c>
      <c r="D70" s="4" t="s">
        <v>63</v>
      </c>
      <c r="E70" s="4" t="s">
        <v>16</v>
      </c>
      <c r="F70" s="6">
        <v>2</v>
      </c>
      <c r="G70" s="6">
        <v>7000</v>
      </c>
      <c r="H70" s="6">
        <v>14000</v>
      </c>
      <c r="I70" s="6">
        <v>5604.18</v>
      </c>
      <c r="J70" s="6">
        <v>2791.64</v>
      </c>
      <c r="K70" t="s">
        <v>71</v>
      </c>
      <c r="L70" t="s">
        <v>18</v>
      </c>
      <c r="M70" t="s">
        <v>25</v>
      </c>
    </row>
    <row r="71" spans="1:13">
      <c r="A71" s="4" t="s">
        <v>163</v>
      </c>
      <c r="B71" t="s">
        <v>161</v>
      </c>
      <c r="C71" s="2">
        <v>45672</v>
      </c>
      <c r="D71" s="4" t="s">
        <v>45</v>
      </c>
      <c r="E71" s="4" t="s">
        <v>23</v>
      </c>
      <c r="F71" s="6">
        <v>9</v>
      </c>
      <c r="G71" s="6">
        <v>650000</v>
      </c>
      <c r="H71" s="6">
        <v>5850000</v>
      </c>
      <c r="I71" s="6">
        <v>417355.67</v>
      </c>
      <c r="J71" s="6">
        <v>2093798.97</v>
      </c>
      <c r="K71" t="s">
        <v>24</v>
      </c>
      <c r="L71" t="s">
        <v>18</v>
      </c>
      <c r="M71" t="s">
        <v>30</v>
      </c>
    </row>
    <row r="72" spans="1:13">
      <c r="A72" s="4" t="s">
        <v>164</v>
      </c>
      <c r="B72" t="s">
        <v>165</v>
      </c>
      <c r="C72" s="2">
        <v>45889</v>
      </c>
      <c r="D72" s="4" t="s">
        <v>28</v>
      </c>
      <c r="E72" s="4" t="s">
        <v>23</v>
      </c>
      <c r="F72" s="6">
        <v>3</v>
      </c>
      <c r="G72" s="6">
        <v>300000</v>
      </c>
      <c r="H72" s="6">
        <v>900000</v>
      </c>
      <c r="I72" s="6">
        <v>206048.01</v>
      </c>
      <c r="J72" s="6">
        <v>281855.96999999997</v>
      </c>
      <c r="K72" t="s">
        <v>24</v>
      </c>
      <c r="L72" t="s">
        <v>18</v>
      </c>
      <c r="M72" t="s">
        <v>19</v>
      </c>
    </row>
    <row r="73" spans="1:13">
      <c r="A73" s="4" t="s">
        <v>166</v>
      </c>
      <c r="B73" t="s">
        <v>73</v>
      </c>
      <c r="C73" s="2">
        <v>45704</v>
      </c>
      <c r="D73" s="4" t="s">
        <v>66</v>
      </c>
      <c r="E73" s="4" t="s">
        <v>49</v>
      </c>
      <c r="F73" s="6">
        <v>11</v>
      </c>
      <c r="G73" s="6">
        <f>Cleaned_Data4[[#This Row],[Sales_Amount]]/Cleaned_Data4[[#This Row],[Quantity]]</f>
        <v>175000</v>
      </c>
      <c r="H73" s="6">
        <v>1925000</v>
      </c>
      <c r="I73" s="6">
        <v>115713.73</v>
      </c>
      <c r="J73" s="6">
        <v>652148.97</v>
      </c>
      <c r="K73" t="s">
        <v>17</v>
      </c>
      <c r="L73" t="s">
        <v>53</v>
      </c>
      <c r="M73" t="s">
        <v>19</v>
      </c>
    </row>
    <row r="74" spans="1:13">
      <c r="A74" s="4" t="s">
        <v>167</v>
      </c>
      <c r="B74" t="s">
        <v>92</v>
      </c>
      <c r="C74" s="2">
        <v>45841</v>
      </c>
      <c r="D74" s="4" t="s">
        <v>15</v>
      </c>
      <c r="E74" s="4" t="s">
        <v>16</v>
      </c>
      <c r="F74" s="6">
        <v>11</v>
      </c>
      <c r="G74" s="6">
        <v>8000</v>
      </c>
      <c r="H74" s="6">
        <v>88000</v>
      </c>
      <c r="I74" s="6">
        <v>6237.54</v>
      </c>
      <c r="J74" s="6">
        <v>19387.060000000001</v>
      </c>
      <c r="K74" t="s">
        <v>71</v>
      </c>
      <c r="L74" t="s">
        <v>29</v>
      </c>
      <c r="M74" t="s">
        <v>30</v>
      </c>
    </row>
    <row r="75" spans="1:13">
      <c r="A75" s="4" t="s">
        <v>168</v>
      </c>
      <c r="B75" t="s">
        <v>169</v>
      </c>
      <c r="C75" s="2">
        <v>45754</v>
      </c>
      <c r="D75" s="4" t="s">
        <v>52</v>
      </c>
      <c r="E75" s="4" t="s">
        <v>23</v>
      </c>
      <c r="F75" s="6">
        <v>7</v>
      </c>
      <c r="G75" s="6">
        <v>45000</v>
      </c>
      <c r="H75" s="6">
        <v>315000</v>
      </c>
      <c r="I75" s="6">
        <v>30512.06</v>
      </c>
      <c r="J75" s="6">
        <v>101415.58</v>
      </c>
      <c r="K75" t="s">
        <v>17</v>
      </c>
      <c r="L75" t="s">
        <v>29</v>
      </c>
      <c r="M75" t="s">
        <v>19</v>
      </c>
    </row>
    <row r="76" spans="1:13">
      <c r="A76" s="4" t="s">
        <v>170</v>
      </c>
      <c r="B76" t="s">
        <v>92</v>
      </c>
      <c r="C76" s="2">
        <v>45680</v>
      </c>
      <c r="D76" s="4" t="s">
        <v>66</v>
      </c>
      <c r="E76" s="4" t="s">
        <v>49</v>
      </c>
      <c r="F76" s="6">
        <v>5</v>
      </c>
      <c r="G76" s="6">
        <v>175000</v>
      </c>
      <c r="H76" s="6">
        <v>875000</v>
      </c>
      <c r="I76" s="6">
        <v>109585.52</v>
      </c>
      <c r="J76" s="6">
        <v>327072.40000000002</v>
      </c>
      <c r="K76" t="s">
        <v>17</v>
      </c>
      <c r="L76" t="s">
        <v>53</v>
      </c>
      <c r="M76" t="s">
        <v>50</v>
      </c>
    </row>
    <row r="77" spans="1:13">
      <c r="A77" s="4" t="s">
        <v>171</v>
      </c>
      <c r="B77" t="s">
        <v>156</v>
      </c>
      <c r="C77" s="2">
        <v>45725</v>
      </c>
      <c r="D77" s="4" t="s">
        <v>28</v>
      </c>
      <c r="E77" s="4" t="s">
        <v>23</v>
      </c>
      <c r="F77" s="6">
        <v>1</v>
      </c>
      <c r="G77" s="6">
        <v>220000</v>
      </c>
      <c r="H77" s="6">
        <v>220000</v>
      </c>
      <c r="I77" s="6">
        <v>145985.48000000001</v>
      </c>
      <c r="J77" s="6">
        <v>74014.52</v>
      </c>
      <c r="K77" t="s">
        <v>24</v>
      </c>
      <c r="L77" t="s">
        <v>53</v>
      </c>
      <c r="M77" t="s">
        <v>34</v>
      </c>
    </row>
    <row r="78" spans="1:13">
      <c r="A78" s="4" t="s">
        <v>172</v>
      </c>
      <c r="B78" t="s">
        <v>117</v>
      </c>
      <c r="C78" s="2">
        <v>45732</v>
      </c>
      <c r="D78" s="4" t="s">
        <v>37</v>
      </c>
      <c r="E78" s="4" t="s">
        <v>16</v>
      </c>
      <c r="F78" s="6">
        <v>1</v>
      </c>
      <c r="G78" s="6">
        <v>18000</v>
      </c>
      <c r="H78" s="6">
        <v>18000</v>
      </c>
      <c r="I78" s="6">
        <v>12830.31</v>
      </c>
      <c r="J78" s="6">
        <v>5169.6899999999996</v>
      </c>
      <c r="K78" t="s">
        <v>33</v>
      </c>
      <c r="L78" t="s">
        <v>18</v>
      </c>
      <c r="M78" t="s">
        <v>30</v>
      </c>
    </row>
    <row r="79" spans="1:13">
      <c r="A79" s="4" t="s">
        <v>173</v>
      </c>
      <c r="B79" t="s">
        <v>174</v>
      </c>
      <c r="C79" s="2">
        <v>45860</v>
      </c>
      <c r="D79" s="4" t="s">
        <v>37</v>
      </c>
      <c r="E79" s="4" t="s">
        <v>16</v>
      </c>
      <c r="F79" s="6">
        <v>4</v>
      </c>
      <c r="G79" s="6">
        <v>18000</v>
      </c>
      <c r="H79" s="6">
        <v>72000</v>
      </c>
      <c r="I79" s="6">
        <v>12276.1</v>
      </c>
      <c r="J79" s="6">
        <v>22895.599999999999</v>
      </c>
      <c r="K79" t="s">
        <v>33</v>
      </c>
      <c r="L79" t="s">
        <v>53</v>
      </c>
      <c r="M79" t="s">
        <v>34</v>
      </c>
    </row>
    <row r="80" spans="1:13">
      <c r="A80" s="4" t="s">
        <v>175</v>
      </c>
      <c r="B80" t="s">
        <v>176</v>
      </c>
      <c r="C80" s="2">
        <v>45856</v>
      </c>
      <c r="D80" s="4" t="s">
        <v>15</v>
      </c>
      <c r="E80" s="4" t="s">
        <v>16</v>
      </c>
      <c r="F80" s="6">
        <v>6</v>
      </c>
      <c r="G80" s="6">
        <v>8000</v>
      </c>
      <c r="H80" s="6">
        <v>48000</v>
      </c>
      <c r="I80" s="6">
        <v>5518.86</v>
      </c>
      <c r="J80" s="6">
        <v>14886.84</v>
      </c>
      <c r="K80" t="s">
        <v>24</v>
      </c>
      <c r="L80" t="s">
        <v>29</v>
      </c>
      <c r="M80" t="s">
        <v>50</v>
      </c>
    </row>
    <row r="81" spans="1:13">
      <c r="A81" s="4" t="s">
        <v>177</v>
      </c>
      <c r="B81" t="s">
        <v>111</v>
      </c>
      <c r="C81" s="2">
        <v>45809</v>
      </c>
      <c r="D81" s="4" t="s">
        <v>52</v>
      </c>
      <c r="E81" s="4" t="s">
        <v>23</v>
      </c>
      <c r="F81" s="6">
        <v>6</v>
      </c>
      <c r="G81" s="6">
        <v>85000</v>
      </c>
      <c r="H81" s="6">
        <v>510000</v>
      </c>
      <c r="I81" s="6">
        <v>53805.32</v>
      </c>
      <c r="J81" s="6">
        <v>187168.08</v>
      </c>
      <c r="K81" t="s">
        <v>80</v>
      </c>
      <c r="L81" t="s">
        <v>53</v>
      </c>
      <c r="M81" t="s">
        <v>30</v>
      </c>
    </row>
    <row r="82" spans="1:13">
      <c r="A82" s="4" t="s">
        <v>178</v>
      </c>
      <c r="B82" t="s">
        <v>100</v>
      </c>
      <c r="C82" s="2">
        <v>45997</v>
      </c>
      <c r="D82" s="4" t="s">
        <v>52</v>
      </c>
      <c r="E82" s="4" t="s">
        <v>23</v>
      </c>
      <c r="F82" s="6">
        <v>11</v>
      </c>
      <c r="G82" s="6">
        <v>45000</v>
      </c>
      <c r="H82" s="6">
        <v>495000</v>
      </c>
      <c r="I82" s="6">
        <v>33488</v>
      </c>
      <c r="J82" s="6">
        <v>126632</v>
      </c>
      <c r="K82" t="s">
        <v>33</v>
      </c>
      <c r="L82" t="s">
        <v>29</v>
      </c>
      <c r="M82" t="s">
        <v>25</v>
      </c>
    </row>
    <row r="83" spans="1:13">
      <c r="A83" s="4" t="s">
        <v>179</v>
      </c>
      <c r="B83" t="s">
        <v>180</v>
      </c>
      <c r="C83" s="2">
        <v>45843</v>
      </c>
      <c r="D83" s="4" t="s">
        <v>56</v>
      </c>
      <c r="E83" s="4" t="s">
        <v>23</v>
      </c>
      <c r="F83" s="6">
        <v>2</v>
      </c>
      <c r="G83" s="6">
        <v>70000</v>
      </c>
      <c r="H83" s="6">
        <v>140000</v>
      </c>
      <c r="I83" s="6">
        <v>42485.11</v>
      </c>
      <c r="J83" s="6">
        <v>55029.78</v>
      </c>
      <c r="K83" t="s">
        <v>33</v>
      </c>
      <c r="L83" t="s">
        <v>53</v>
      </c>
      <c r="M83" t="s">
        <v>25</v>
      </c>
    </row>
    <row r="84" spans="1:13">
      <c r="A84" s="4" t="s">
        <v>181</v>
      </c>
      <c r="B84" t="s">
        <v>180</v>
      </c>
      <c r="C84" s="2">
        <v>45700</v>
      </c>
      <c r="D84" s="4" t="s">
        <v>63</v>
      </c>
      <c r="E84" s="4" t="s">
        <v>16</v>
      </c>
      <c r="F84" s="6">
        <v>8</v>
      </c>
      <c r="G84" s="6">
        <v>7000</v>
      </c>
      <c r="H84" s="6">
        <v>56000</v>
      </c>
      <c r="I84" s="6">
        <v>5312.13</v>
      </c>
      <c r="J84" s="6">
        <v>13502.96</v>
      </c>
      <c r="K84" t="s">
        <v>80</v>
      </c>
      <c r="L84" t="s">
        <v>29</v>
      </c>
      <c r="M84" t="s">
        <v>67</v>
      </c>
    </row>
    <row r="85" spans="1:13">
      <c r="A85" s="4" t="s">
        <v>182</v>
      </c>
      <c r="B85" t="s">
        <v>146</v>
      </c>
      <c r="C85" s="2">
        <v>45933</v>
      </c>
      <c r="D85" s="4" t="s">
        <v>70</v>
      </c>
      <c r="E85" s="4" t="s">
        <v>16</v>
      </c>
      <c r="F85" s="6">
        <v>12</v>
      </c>
      <c r="G85" s="6">
        <v>35000</v>
      </c>
      <c r="H85" s="6">
        <v>420000</v>
      </c>
      <c r="I85" s="6">
        <v>24887.51</v>
      </c>
      <c r="J85" s="6">
        <v>121349.88</v>
      </c>
      <c r="K85" t="s">
        <v>71</v>
      </c>
      <c r="L85" t="s">
        <v>29</v>
      </c>
      <c r="M85" t="s">
        <v>50</v>
      </c>
    </row>
    <row r="86" spans="1:13">
      <c r="A86" s="4" t="s">
        <v>183</v>
      </c>
      <c r="B86" t="s">
        <v>169</v>
      </c>
      <c r="C86" s="2">
        <v>46007</v>
      </c>
      <c r="D86" s="4" t="s">
        <v>66</v>
      </c>
      <c r="E86" s="4" t="s">
        <v>49</v>
      </c>
      <c r="F86" s="6">
        <v>4</v>
      </c>
      <c r="G86" s="6">
        <v>120000</v>
      </c>
      <c r="H86" s="6">
        <v>480000</v>
      </c>
      <c r="I86" s="6">
        <v>94927.69</v>
      </c>
      <c r="J86" s="6">
        <v>100289.24</v>
      </c>
      <c r="K86" t="s">
        <v>24</v>
      </c>
      <c r="L86" t="s">
        <v>29</v>
      </c>
      <c r="M86" t="s">
        <v>38</v>
      </c>
    </row>
    <row r="87" spans="1:13">
      <c r="A87" s="4" t="s">
        <v>184</v>
      </c>
      <c r="B87" t="s">
        <v>146</v>
      </c>
      <c r="C87" s="2">
        <v>45989</v>
      </c>
      <c r="D87" s="4" t="s">
        <v>56</v>
      </c>
      <c r="E87" s="4" t="s">
        <v>23</v>
      </c>
      <c r="F87" s="6">
        <v>6</v>
      </c>
      <c r="G87" s="6">
        <v>70000</v>
      </c>
      <c r="H87" s="6">
        <v>420000</v>
      </c>
      <c r="I87" s="6">
        <v>49783.13</v>
      </c>
      <c r="J87" s="6">
        <v>121301.22</v>
      </c>
      <c r="K87" t="s">
        <v>71</v>
      </c>
      <c r="L87" t="s">
        <v>18</v>
      </c>
      <c r="M87" t="s">
        <v>50</v>
      </c>
    </row>
    <row r="88" spans="1:13">
      <c r="A88" s="4" t="s">
        <v>185</v>
      </c>
      <c r="B88" t="s">
        <v>92</v>
      </c>
      <c r="C88" s="2">
        <v>45833</v>
      </c>
      <c r="D88" s="4" t="s">
        <v>45</v>
      </c>
      <c r="E88" s="4" t="s">
        <v>23</v>
      </c>
      <c r="F88" s="6">
        <f>Cleaned_Data4[[#This Row],[Sales_Amount]]/Cleaned_Data4[[#This Row],[Unit_Price]]</f>
        <v>9</v>
      </c>
      <c r="G88" s="6">
        <v>450000</v>
      </c>
      <c r="H88" s="6">
        <v>4050000</v>
      </c>
      <c r="I88" s="6">
        <v>311637.83</v>
      </c>
      <c r="J88" s="6">
        <v>1245259.53</v>
      </c>
      <c r="K88" t="s">
        <v>80</v>
      </c>
      <c r="L88" t="s">
        <v>18</v>
      </c>
      <c r="M88" t="s">
        <v>38</v>
      </c>
    </row>
    <row r="89" spans="1:13">
      <c r="A89" s="4" t="s">
        <v>186</v>
      </c>
      <c r="B89" t="s">
        <v>187</v>
      </c>
      <c r="C89" s="2">
        <v>45663</v>
      </c>
      <c r="D89" s="4" t="s">
        <v>48</v>
      </c>
      <c r="E89" s="4" t="s">
        <v>49</v>
      </c>
      <c r="F89" s="6">
        <v>11</v>
      </c>
      <c r="G89" s="6">
        <v>200000</v>
      </c>
      <c r="H89" s="6">
        <v>2200000</v>
      </c>
      <c r="I89" s="6">
        <v>121498.48</v>
      </c>
      <c r="J89" s="6">
        <v>863516.72</v>
      </c>
      <c r="K89" t="s">
        <v>24</v>
      </c>
      <c r="L89" t="s">
        <v>18</v>
      </c>
      <c r="M89" t="s">
        <v>19</v>
      </c>
    </row>
    <row r="90" spans="1:13">
      <c r="A90" s="4" t="s">
        <v>188</v>
      </c>
      <c r="B90" t="s">
        <v>176</v>
      </c>
      <c r="C90" s="2">
        <v>45781</v>
      </c>
      <c r="D90" s="4" t="s">
        <v>52</v>
      </c>
      <c r="E90" s="4" t="s">
        <v>23</v>
      </c>
      <c r="F90" s="6">
        <v>12</v>
      </c>
      <c r="G90" s="6">
        <v>85000</v>
      </c>
      <c r="H90" s="6">
        <v>1020000</v>
      </c>
      <c r="I90" s="6">
        <v>61309.98</v>
      </c>
      <c r="J90" s="6">
        <v>284280.24</v>
      </c>
      <c r="K90" t="s">
        <v>33</v>
      </c>
      <c r="L90" t="s">
        <v>29</v>
      </c>
      <c r="M90" t="s">
        <v>38</v>
      </c>
    </row>
    <row r="91" spans="1:13">
      <c r="A91" s="4" t="s">
        <v>189</v>
      </c>
      <c r="B91" t="s">
        <v>113</v>
      </c>
      <c r="C91" s="2">
        <v>45681</v>
      </c>
      <c r="D91" s="4" t="s">
        <v>45</v>
      </c>
      <c r="E91" s="4" t="s">
        <v>23</v>
      </c>
      <c r="F91" s="6">
        <v>2</v>
      </c>
      <c r="G91" s="6">
        <v>650000</v>
      </c>
      <c r="H91" s="6">
        <v>1300000</v>
      </c>
      <c r="I91" s="6">
        <v>499286.8</v>
      </c>
      <c r="J91" s="6">
        <v>301426.40000000002</v>
      </c>
      <c r="K91" t="s">
        <v>17</v>
      </c>
      <c r="L91" t="s">
        <v>53</v>
      </c>
      <c r="M91" t="s">
        <v>34</v>
      </c>
    </row>
    <row r="92" spans="1:13">
      <c r="A92" s="4" t="s">
        <v>190</v>
      </c>
      <c r="B92" t="s">
        <v>161</v>
      </c>
      <c r="C92" s="2">
        <v>45991</v>
      </c>
      <c r="D92" s="4" t="s">
        <v>106</v>
      </c>
      <c r="E92" s="4" t="s">
        <v>23</v>
      </c>
      <c r="F92" s="6">
        <v>7</v>
      </c>
      <c r="G92" s="6">
        <v>200000</v>
      </c>
      <c r="H92" s="6">
        <v>1400000</v>
      </c>
      <c r="I92" s="6">
        <v>116962.51</v>
      </c>
      <c r="J92" s="6">
        <v>581262.43000000005</v>
      </c>
      <c r="K92" t="s">
        <v>17</v>
      </c>
      <c r="L92" t="s">
        <v>29</v>
      </c>
      <c r="M92" t="s">
        <v>50</v>
      </c>
    </row>
    <row r="93" spans="1:13">
      <c r="A93" s="4" t="s">
        <v>191</v>
      </c>
      <c r="B93" t="s">
        <v>77</v>
      </c>
      <c r="C93" s="2">
        <v>45961</v>
      </c>
      <c r="D93" s="4" t="s">
        <v>28</v>
      </c>
      <c r="E93" s="4" t="s">
        <v>23</v>
      </c>
      <c r="F93" s="6">
        <v>12</v>
      </c>
      <c r="G93" s="6">
        <v>300000</v>
      </c>
      <c r="H93" s="6">
        <v>3600000</v>
      </c>
      <c r="I93" s="6">
        <v>191485.16</v>
      </c>
      <c r="J93" s="6">
        <v>1302178.08</v>
      </c>
      <c r="K93" t="s">
        <v>24</v>
      </c>
      <c r="L93" t="s">
        <v>18</v>
      </c>
      <c r="M93" t="s">
        <v>25</v>
      </c>
    </row>
    <row r="94" spans="1:13">
      <c r="A94" s="4" t="s">
        <v>192</v>
      </c>
      <c r="B94" t="s">
        <v>193</v>
      </c>
      <c r="C94" s="2">
        <v>45903</v>
      </c>
      <c r="D94" s="4" t="s">
        <v>66</v>
      </c>
      <c r="E94" s="4" t="s">
        <v>49</v>
      </c>
      <c r="F94" s="6">
        <v>4</v>
      </c>
      <c r="G94" s="6">
        <v>175000</v>
      </c>
      <c r="H94" s="6">
        <v>700000</v>
      </c>
      <c r="I94" s="6">
        <v>108272.34</v>
      </c>
      <c r="J94" s="6">
        <v>266910.64</v>
      </c>
      <c r="K94" t="s">
        <v>17</v>
      </c>
      <c r="L94" t="s">
        <v>53</v>
      </c>
      <c r="M94" t="s">
        <v>67</v>
      </c>
    </row>
    <row r="95" spans="1:13">
      <c r="A95" s="4" t="s">
        <v>194</v>
      </c>
      <c r="B95" t="s">
        <v>60</v>
      </c>
      <c r="C95" s="2">
        <v>45999</v>
      </c>
      <c r="D95" s="4" t="s">
        <v>48</v>
      </c>
      <c r="E95" s="4" t="s">
        <v>49</v>
      </c>
      <c r="F95" s="6">
        <v>6</v>
      </c>
      <c r="G95" s="6">
        <v>100000</v>
      </c>
      <c r="H95" s="6">
        <v>600000</v>
      </c>
      <c r="I95" s="6">
        <v>72755.87</v>
      </c>
      <c r="J95" s="6">
        <v>163464.78</v>
      </c>
      <c r="K95" t="s">
        <v>80</v>
      </c>
      <c r="L95" t="s">
        <v>53</v>
      </c>
      <c r="M95" t="s">
        <v>30</v>
      </c>
    </row>
    <row r="96" spans="1:13">
      <c r="A96" s="4" t="s">
        <v>195</v>
      </c>
      <c r="B96" t="s">
        <v>196</v>
      </c>
      <c r="C96" s="2">
        <v>45680</v>
      </c>
      <c r="D96" s="4" t="s">
        <v>66</v>
      </c>
      <c r="E96" s="4" t="s">
        <v>49</v>
      </c>
      <c r="F96" s="6">
        <v>7</v>
      </c>
      <c r="G96" s="6">
        <v>120000</v>
      </c>
      <c r="H96" s="6">
        <v>840000</v>
      </c>
      <c r="I96" s="6">
        <v>89079.25</v>
      </c>
      <c r="J96" s="6">
        <v>216445.25</v>
      </c>
      <c r="K96" t="s">
        <v>80</v>
      </c>
      <c r="L96" t="s">
        <v>18</v>
      </c>
      <c r="M96" t="s">
        <v>19</v>
      </c>
    </row>
    <row r="97" spans="1:13">
      <c r="A97" s="4" t="s">
        <v>197</v>
      </c>
      <c r="B97" t="s">
        <v>77</v>
      </c>
      <c r="C97" s="2">
        <v>45945</v>
      </c>
      <c r="D97" s="4" t="s">
        <v>52</v>
      </c>
      <c r="E97" s="4" t="s">
        <v>23</v>
      </c>
      <c r="F97" s="6">
        <v>7</v>
      </c>
      <c r="G97" s="6">
        <v>45000</v>
      </c>
      <c r="H97" s="6">
        <v>315000</v>
      </c>
      <c r="I97" s="6">
        <v>31617.96</v>
      </c>
      <c r="J97" s="6">
        <v>93674.28</v>
      </c>
      <c r="K97" t="s">
        <v>24</v>
      </c>
      <c r="L97" t="s">
        <v>18</v>
      </c>
      <c r="M97" t="s">
        <v>38</v>
      </c>
    </row>
    <row r="98" spans="1:13">
      <c r="A98" s="4" t="s">
        <v>198</v>
      </c>
      <c r="B98" t="s">
        <v>138</v>
      </c>
      <c r="C98" s="2">
        <v>45736</v>
      </c>
      <c r="D98" s="4" t="s">
        <v>52</v>
      </c>
      <c r="E98" s="4" t="s">
        <v>23</v>
      </c>
      <c r="F98" s="6">
        <v>8</v>
      </c>
      <c r="G98" s="6">
        <v>85000</v>
      </c>
      <c r="H98" s="6">
        <v>680000</v>
      </c>
      <c r="I98" s="6">
        <v>55253.98</v>
      </c>
      <c r="J98" s="6">
        <v>237968.16</v>
      </c>
      <c r="K98" t="s">
        <v>24</v>
      </c>
      <c r="L98" t="s">
        <v>29</v>
      </c>
      <c r="M98" t="s">
        <v>34</v>
      </c>
    </row>
    <row r="99" spans="1:13">
      <c r="A99" s="4" t="s">
        <v>199</v>
      </c>
      <c r="B99" t="s">
        <v>200</v>
      </c>
      <c r="C99" s="2">
        <v>45714</v>
      </c>
      <c r="D99" s="4" t="s">
        <v>48</v>
      </c>
      <c r="E99" s="4" t="s">
        <v>49</v>
      </c>
      <c r="F99" s="6">
        <v>12</v>
      </c>
      <c r="G99" s="6">
        <v>100000</v>
      </c>
      <c r="H99" s="6">
        <v>1200000</v>
      </c>
      <c r="I99" s="6">
        <v>78198</v>
      </c>
      <c r="J99" s="6">
        <v>261624</v>
      </c>
      <c r="K99" t="s">
        <v>33</v>
      </c>
      <c r="L99" t="s">
        <v>29</v>
      </c>
      <c r="M99" t="s">
        <v>67</v>
      </c>
    </row>
    <row r="100" spans="1:13">
      <c r="A100" s="4" t="s">
        <v>201</v>
      </c>
      <c r="B100" t="s">
        <v>129</v>
      </c>
      <c r="C100" s="2">
        <v>45734</v>
      </c>
      <c r="D100" s="4" t="s">
        <v>48</v>
      </c>
      <c r="E100" s="4" t="s">
        <v>49</v>
      </c>
      <c r="F100" s="6">
        <v>7</v>
      </c>
      <c r="G100" s="6">
        <v>100000</v>
      </c>
      <c r="H100" s="6">
        <v>700000</v>
      </c>
      <c r="I100" s="6">
        <v>63446.23</v>
      </c>
      <c r="J100" s="6">
        <v>255876.39</v>
      </c>
      <c r="K100" t="s">
        <v>71</v>
      </c>
      <c r="L100" t="s">
        <v>29</v>
      </c>
      <c r="M100" t="s">
        <v>50</v>
      </c>
    </row>
    <row r="101" spans="1:13">
      <c r="A101" s="4" t="s">
        <v>202</v>
      </c>
      <c r="B101" t="s">
        <v>96</v>
      </c>
      <c r="C101" s="2">
        <v>45906</v>
      </c>
      <c r="D101" s="4" t="s">
        <v>70</v>
      </c>
      <c r="E101" s="4" t="s">
        <v>16</v>
      </c>
      <c r="F101" s="6">
        <v>8</v>
      </c>
      <c r="G101" s="6">
        <v>15000</v>
      </c>
      <c r="H101" s="6">
        <v>120000</v>
      </c>
      <c r="I101" s="6">
        <v>11812.74</v>
      </c>
      <c r="J101" s="6">
        <v>25498.080000000002</v>
      </c>
      <c r="K101" t="s">
        <v>71</v>
      </c>
      <c r="L101" t="s">
        <v>29</v>
      </c>
      <c r="M101" t="s">
        <v>67</v>
      </c>
    </row>
    <row r="102" spans="1:13">
      <c r="A102" s="4" t="s">
        <v>203</v>
      </c>
      <c r="B102" t="s">
        <v>187</v>
      </c>
      <c r="C102" s="2">
        <v>45876</v>
      </c>
      <c r="D102" s="4" t="s">
        <v>15</v>
      </c>
      <c r="E102" s="4" t="s">
        <v>16</v>
      </c>
      <c r="F102" s="6">
        <v>11</v>
      </c>
      <c r="G102" s="6">
        <v>12500</v>
      </c>
      <c r="H102" s="6">
        <v>137500</v>
      </c>
      <c r="I102" s="6">
        <v>8010.9</v>
      </c>
      <c r="J102" s="6">
        <v>49380.1</v>
      </c>
      <c r="K102" t="s">
        <v>80</v>
      </c>
      <c r="L102" t="s">
        <v>18</v>
      </c>
      <c r="M102" t="s">
        <v>19</v>
      </c>
    </row>
    <row r="103" spans="1:13">
      <c r="A103" s="4" t="s">
        <v>204</v>
      </c>
      <c r="B103" t="s">
        <v>205</v>
      </c>
      <c r="C103" s="2">
        <v>45828</v>
      </c>
      <c r="D103" s="4" t="s">
        <v>70</v>
      </c>
      <c r="E103" s="4" t="s">
        <v>16</v>
      </c>
      <c r="F103" s="6">
        <v>12</v>
      </c>
      <c r="G103" s="6">
        <v>22000</v>
      </c>
      <c r="H103" s="6">
        <v>264000</v>
      </c>
      <c r="I103" s="6">
        <v>17389.3</v>
      </c>
      <c r="J103" s="6">
        <v>55328.4</v>
      </c>
      <c r="K103" t="s">
        <v>71</v>
      </c>
      <c r="L103" t="s">
        <v>18</v>
      </c>
      <c r="M103" t="s">
        <v>19</v>
      </c>
    </row>
    <row r="104" spans="1:13">
      <c r="A104" s="4" t="s">
        <v>206</v>
      </c>
      <c r="B104" t="s">
        <v>135</v>
      </c>
      <c r="C104" s="2">
        <v>45757</v>
      </c>
      <c r="D104" s="4" t="s">
        <v>70</v>
      </c>
      <c r="E104" s="4" t="s">
        <v>16</v>
      </c>
      <c r="F104" s="6">
        <v>6</v>
      </c>
      <c r="G104" s="6">
        <v>15000</v>
      </c>
      <c r="H104" s="6">
        <v>90000</v>
      </c>
      <c r="I104" s="6">
        <v>11868.35</v>
      </c>
      <c r="J104" s="6">
        <v>18789.900000000001</v>
      </c>
      <c r="K104" t="s">
        <v>71</v>
      </c>
      <c r="L104" t="s">
        <v>18</v>
      </c>
      <c r="M104" t="s">
        <v>30</v>
      </c>
    </row>
    <row r="105" spans="1:13">
      <c r="A105" s="4" t="s">
        <v>207</v>
      </c>
      <c r="B105" t="s">
        <v>208</v>
      </c>
      <c r="C105" s="2">
        <v>45984</v>
      </c>
      <c r="D105" s="4" t="s">
        <v>56</v>
      </c>
      <c r="E105" s="4" t="s">
        <v>23</v>
      </c>
      <c r="F105" s="6">
        <v>3</v>
      </c>
      <c r="G105" s="6">
        <v>45000</v>
      </c>
      <c r="H105" s="6">
        <v>135000</v>
      </c>
      <c r="I105" s="6">
        <v>31594.560000000001</v>
      </c>
      <c r="J105" s="6">
        <v>40216.32</v>
      </c>
      <c r="K105" t="s">
        <v>71</v>
      </c>
      <c r="L105" t="s">
        <v>53</v>
      </c>
      <c r="M105" t="s">
        <v>50</v>
      </c>
    </row>
    <row r="106" spans="1:13">
      <c r="A106" s="4" t="s">
        <v>209</v>
      </c>
      <c r="B106" t="s">
        <v>79</v>
      </c>
      <c r="C106" s="2">
        <v>45833</v>
      </c>
      <c r="D106" s="4" t="s">
        <v>28</v>
      </c>
      <c r="E106" s="4" t="s">
        <v>23</v>
      </c>
      <c r="F106" s="6">
        <v>12</v>
      </c>
      <c r="G106" s="6">
        <v>180000</v>
      </c>
      <c r="H106" s="6">
        <v>2160000</v>
      </c>
      <c r="I106" s="6">
        <v>126196.52</v>
      </c>
      <c r="J106" s="6">
        <v>645641.76</v>
      </c>
      <c r="K106" t="s">
        <v>17</v>
      </c>
      <c r="L106" t="s">
        <v>53</v>
      </c>
      <c r="M106" t="s">
        <v>38</v>
      </c>
    </row>
    <row r="107" spans="1:13">
      <c r="A107" s="4" t="s">
        <v>210</v>
      </c>
      <c r="B107" t="s">
        <v>211</v>
      </c>
      <c r="C107" s="2">
        <v>45919</v>
      </c>
      <c r="D107" s="4" t="s">
        <v>48</v>
      </c>
      <c r="E107" s="4" t="s">
        <v>49</v>
      </c>
      <c r="F107" s="6">
        <v>2</v>
      </c>
      <c r="G107" s="6">
        <v>140000</v>
      </c>
      <c r="H107" s="6">
        <v>280000</v>
      </c>
      <c r="I107" s="6">
        <v>93425.88</v>
      </c>
      <c r="J107" s="6">
        <v>93148.24</v>
      </c>
      <c r="K107" t="s">
        <v>71</v>
      </c>
      <c r="L107" t="s">
        <v>18</v>
      </c>
      <c r="M107" t="s">
        <v>38</v>
      </c>
    </row>
    <row r="108" spans="1:13">
      <c r="A108" s="4" t="s">
        <v>212</v>
      </c>
      <c r="B108" t="s">
        <v>213</v>
      </c>
      <c r="C108" s="2">
        <v>45874</v>
      </c>
      <c r="D108" s="4" t="s">
        <v>70</v>
      </c>
      <c r="E108" s="4" t="s">
        <v>16</v>
      </c>
      <c r="F108" s="6">
        <v>6</v>
      </c>
      <c r="G108" s="6">
        <v>22000</v>
      </c>
      <c r="H108" s="6">
        <v>132000</v>
      </c>
      <c r="I108" s="6">
        <v>13765.79</v>
      </c>
      <c r="J108" s="6">
        <v>49405.26</v>
      </c>
      <c r="K108" t="s">
        <v>33</v>
      </c>
      <c r="L108" t="s">
        <v>18</v>
      </c>
      <c r="M108" t="s">
        <v>67</v>
      </c>
    </row>
    <row r="109" spans="1:13">
      <c r="A109" s="4" t="s">
        <v>214</v>
      </c>
      <c r="B109" t="s">
        <v>215</v>
      </c>
      <c r="C109" s="2">
        <v>45856</v>
      </c>
      <c r="D109" s="4" t="s">
        <v>48</v>
      </c>
      <c r="E109" s="4" t="s">
        <v>49</v>
      </c>
      <c r="F109" s="6">
        <v>11</v>
      </c>
      <c r="G109" s="6">
        <v>200000</v>
      </c>
      <c r="H109" s="6">
        <v>2200000</v>
      </c>
      <c r="I109" s="6">
        <v>133964.76999999999</v>
      </c>
      <c r="J109" s="6">
        <v>726387.53</v>
      </c>
      <c r="K109" t="s">
        <v>80</v>
      </c>
      <c r="L109" t="s">
        <v>53</v>
      </c>
      <c r="M109" t="s">
        <v>19</v>
      </c>
    </row>
    <row r="110" spans="1:13">
      <c r="A110" s="4" t="s">
        <v>216</v>
      </c>
      <c r="B110" t="s">
        <v>174</v>
      </c>
      <c r="C110" s="2">
        <v>45992</v>
      </c>
      <c r="D110" s="4" t="s">
        <v>28</v>
      </c>
      <c r="E110" s="4" t="s">
        <v>23</v>
      </c>
      <c r="F110" s="6">
        <f>Cleaned_Data4[[#This Row],[Sales_Amount]]/Cleaned_Data4[[#This Row],[Unit_Price]]</f>
        <v>11</v>
      </c>
      <c r="G110" s="6">
        <v>180000</v>
      </c>
      <c r="H110" s="6">
        <v>1980000</v>
      </c>
      <c r="I110" s="6">
        <v>108439.22</v>
      </c>
      <c r="J110" s="6">
        <v>787168.58</v>
      </c>
      <c r="K110" t="s">
        <v>80</v>
      </c>
      <c r="L110" t="s">
        <v>18</v>
      </c>
      <c r="M110" t="s">
        <v>30</v>
      </c>
    </row>
    <row r="111" spans="1:13">
      <c r="A111" s="4" t="s">
        <v>217</v>
      </c>
      <c r="B111" t="s">
        <v>141</v>
      </c>
      <c r="C111" s="2">
        <v>45696</v>
      </c>
      <c r="D111" s="4" t="s">
        <v>52</v>
      </c>
      <c r="E111" s="4" t="s">
        <v>23</v>
      </c>
      <c r="F111" s="6">
        <v>9</v>
      </c>
      <c r="G111" s="6">
        <v>45000</v>
      </c>
      <c r="H111" s="6">
        <v>405000</v>
      </c>
      <c r="I111" s="6">
        <v>29203.439999999999</v>
      </c>
      <c r="J111" s="6">
        <v>142169.04</v>
      </c>
      <c r="K111" t="s">
        <v>24</v>
      </c>
      <c r="L111" t="s">
        <v>18</v>
      </c>
      <c r="M111" t="s">
        <v>30</v>
      </c>
    </row>
    <row r="112" spans="1:13">
      <c r="A112" s="4" t="s">
        <v>218</v>
      </c>
      <c r="B112" t="s">
        <v>219</v>
      </c>
      <c r="C112" s="2" t="s">
        <v>220</v>
      </c>
      <c r="D112" s="4" t="s">
        <v>66</v>
      </c>
      <c r="E112" s="4" t="s">
        <v>49</v>
      </c>
      <c r="F112" s="6">
        <v>7</v>
      </c>
      <c r="G112" s="6">
        <v>90000</v>
      </c>
      <c r="H112" s="6">
        <v>630000</v>
      </c>
      <c r="I112" s="6">
        <v>68623.33</v>
      </c>
      <c r="J112" s="6">
        <v>149636.69</v>
      </c>
      <c r="K112" t="s">
        <v>24</v>
      </c>
      <c r="L112" t="s">
        <v>18</v>
      </c>
      <c r="M112" t="s">
        <v>50</v>
      </c>
    </row>
    <row r="113" spans="1:13">
      <c r="A113" s="4" t="s">
        <v>221</v>
      </c>
      <c r="B113" t="s">
        <v>222</v>
      </c>
      <c r="C113" s="2">
        <v>45919</v>
      </c>
      <c r="D113" s="4" t="s">
        <v>28</v>
      </c>
      <c r="E113" s="4" t="s">
        <v>23</v>
      </c>
      <c r="F113" s="6">
        <v>12</v>
      </c>
      <c r="G113" s="6">
        <v>300000</v>
      </c>
      <c r="H113" s="6">
        <v>3600000</v>
      </c>
      <c r="I113" s="6">
        <v>182476.89</v>
      </c>
      <c r="J113" s="6">
        <v>1410277.32</v>
      </c>
      <c r="K113" t="s">
        <v>17</v>
      </c>
      <c r="L113" t="s">
        <v>29</v>
      </c>
      <c r="M113" t="s">
        <v>50</v>
      </c>
    </row>
    <row r="114" spans="1:13">
      <c r="A114" s="4" t="s">
        <v>223</v>
      </c>
      <c r="B114" t="s">
        <v>224</v>
      </c>
      <c r="C114" s="2">
        <v>45701</v>
      </c>
      <c r="D114" s="4" t="s">
        <v>56</v>
      </c>
      <c r="E114" s="4" t="s">
        <v>23</v>
      </c>
      <c r="F114" s="6">
        <v>5</v>
      </c>
      <c r="G114" s="6">
        <v>70000</v>
      </c>
      <c r="H114" s="6">
        <v>350000</v>
      </c>
      <c r="I114" s="6">
        <v>46928.21</v>
      </c>
      <c r="J114" s="6">
        <v>115358.95</v>
      </c>
      <c r="K114" t="s">
        <v>71</v>
      </c>
      <c r="L114" t="s">
        <v>18</v>
      </c>
      <c r="M114" t="s">
        <v>38</v>
      </c>
    </row>
    <row r="115" spans="1:13">
      <c r="A115" s="4" t="s">
        <v>225</v>
      </c>
      <c r="B115" t="s">
        <v>75</v>
      </c>
      <c r="C115" s="2">
        <v>45800</v>
      </c>
      <c r="D115" s="4" t="s">
        <v>15</v>
      </c>
      <c r="E115" s="4" t="s">
        <v>16</v>
      </c>
      <c r="F115" s="6">
        <v>10</v>
      </c>
      <c r="G115" s="6">
        <v>10000</v>
      </c>
      <c r="H115" s="6">
        <v>100000</v>
      </c>
      <c r="I115" s="6">
        <v>6645.29</v>
      </c>
      <c r="J115" s="6">
        <v>33547.1</v>
      </c>
      <c r="K115" t="s">
        <v>33</v>
      </c>
      <c r="L115" t="s">
        <v>53</v>
      </c>
      <c r="M115" t="s">
        <v>25</v>
      </c>
    </row>
    <row r="116" spans="1:13">
      <c r="A116" s="4" t="s">
        <v>226</v>
      </c>
      <c r="B116" t="s">
        <v>151</v>
      </c>
      <c r="C116" s="2">
        <v>45799</v>
      </c>
      <c r="D116" s="4" t="s">
        <v>56</v>
      </c>
      <c r="E116" s="4" t="s">
        <v>23</v>
      </c>
      <c r="F116" s="6">
        <v>9</v>
      </c>
      <c r="G116" s="6">
        <v>70000</v>
      </c>
      <c r="H116" s="6">
        <v>630000</v>
      </c>
      <c r="I116" s="6">
        <v>49946.23</v>
      </c>
      <c r="J116" s="6">
        <v>180483.93</v>
      </c>
      <c r="K116" t="s">
        <v>71</v>
      </c>
      <c r="L116" t="s">
        <v>53</v>
      </c>
      <c r="M116" t="s">
        <v>67</v>
      </c>
    </row>
    <row r="117" spans="1:13">
      <c r="A117" s="4" t="s">
        <v>227</v>
      </c>
      <c r="B117" t="s">
        <v>27</v>
      </c>
      <c r="C117" s="2">
        <v>45910</v>
      </c>
      <c r="D117" s="4" t="s">
        <v>106</v>
      </c>
      <c r="E117" s="4" t="s">
        <v>23</v>
      </c>
      <c r="F117" s="6">
        <v>3</v>
      </c>
      <c r="G117" s="6">
        <v>120000</v>
      </c>
      <c r="H117" s="6">
        <v>360000</v>
      </c>
      <c r="I117" s="6">
        <v>74415.570000000007</v>
      </c>
      <c r="J117" s="6">
        <v>136753.29</v>
      </c>
      <c r="K117" t="s">
        <v>80</v>
      </c>
      <c r="L117" t="s">
        <v>29</v>
      </c>
      <c r="M117" t="s">
        <v>30</v>
      </c>
    </row>
    <row r="118" spans="1:13">
      <c r="A118" s="4" t="s">
        <v>228</v>
      </c>
      <c r="B118" t="s">
        <v>211</v>
      </c>
      <c r="C118" s="2">
        <v>45708</v>
      </c>
      <c r="D118" s="4" t="s">
        <v>48</v>
      </c>
      <c r="E118" s="4" t="s">
        <v>49</v>
      </c>
      <c r="F118" s="6">
        <v>1</v>
      </c>
      <c r="G118" s="6">
        <v>200000</v>
      </c>
      <c r="H118" s="6">
        <v>200000</v>
      </c>
      <c r="I118" s="6">
        <v>163965.56</v>
      </c>
      <c r="J118" s="6">
        <v>36034.44</v>
      </c>
      <c r="K118" t="s">
        <v>17</v>
      </c>
      <c r="L118" t="s">
        <v>53</v>
      </c>
      <c r="M118" t="s">
        <v>50</v>
      </c>
    </row>
    <row r="119" spans="1:13">
      <c r="A119" s="4" t="s">
        <v>229</v>
      </c>
      <c r="B119" t="s">
        <v>133</v>
      </c>
      <c r="C119" s="2">
        <v>45703</v>
      </c>
      <c r="D119" s="4" t="s">
        <v>15</v>
      </c>
      <c r="E119" s="4" t="s">
        <v>16</v>
      </c>
      <c r="F119" s="6">
        <v>12</v>
      </c>
      <c r="G119" s="6">
        <v>12500</v>
      </c>
      <c r="H119" s="6">
        <v>150000</v>
      </c>
      <c r="I119" s="6">
        <v>9031.19</v>
      </c>
      <c r="J119" s="6">
        <v>41625.72</v>
      </c>
      <c r="K119" t="s">
        <v>80</v>
      </c>
      <c r="L119" t="s">
        <v>18</v>
      </c>
      <c r="M119" t="s">
        <v>34</v>
      </c>
    </row>
    <row r="120" spans="1:13">
      <c r="A120" s="4" t="s">
        <v>230</v>
      </c>
      <c r="B120" t="s">
        <v>231</v>
      </c>
      <c r="C120" s="2">
        <v>45872</v>
      </c>
      <c r="D120" s="4" t="s">
        <v>52</v>
      </c>
      <c r="E120" s="4" t="s">
        <v>23</v>
      </c>
      <c r="F120" s="6">
        <v>4</v>
      </c>
      <c r="G120" s="6">
        <v>65000</v>
      </c>
      <c r="H120" s="6">
        <v>260000</v>
      </c>
      <c r="I120" s="6">
        <v>41572.910000000003</v>
      </c>
      <c r="J120" s="6">
        <v>93708.36</v>
      </c>
      <c r="K120" t="s">
        <v>24</v>
      </c>
      <c r="L120" t="s">
        <v>29</v>
      </c>
      <c r="M120" t="s">
        <v>34</v>
      </c>
    </row>
    <row r="121" spans="1:13">
      <c r="A121" s="4" t="s">
        <v>232</v>
      </c>
      <c r="B121" t="s">
        <v>165</v>
      </c>
      <c r="C121" s="2">
        <v>45976</v>
      </c>
      <c r="D121" s="4" t="s">
        <v>15</v>
      </c>
      <c r="E121" s="4" t="s">
        <v>16</v>
      </c>
      <c r="F121" s="6">
        <v>4</v>
      </c>
      <c r="G121" s="6">
        <v>10000</v>
      </c>
      <c r="H121" s="6">
        <v>40000</v>
      </c>
      <c r="I121" s="6">
        <v>7457.67</v>
      </c>
      <c r="J121" s="6">
        <v>10169.32</v>
      </c>
      <c r="K121" t="s">
        <v>80</v>
      </c>
      <c r="L121" t="s">
        <v>53</v>
      </c>
      <c r="M121" t="s">
        <v>50</v>
      </c>
    </row>
    <row r="122" spans="1:13">
      <c r="A122" s="4" t="s">
        <v>233</v>
      </c>
      <c r="B122" t="s">
        <v>234</v>
      </c>
      <c r="C122" s="2">
        <v>45939</v>
      </c>
      <c r="D122" s="4" t="s">
        <v>48</v>
      </c>
      <c r="E122" s="4" t="s">
        <v>49</v>
      </c>
      <c r="F122" s="6">
        <v>1</v>
      </c>
      <c r="G122" s="6">
        <v>100000</v>
      </c>
      <c r="H122" s="6">
        <v>100000</v>
      </c>
      <c r="I122" s="6">
        <v>77002.8</v>
      </c>
      <c r="J122" s="6">
        <v>22997.200000000001</v>
      </c>
      <c r="K122" t="s">
        <v>24</v>
      </c>
      <c r="L122" t="s">
        <v>18</v>
      </c>
      <c r="M122" t="s">
        <v>25</v>
      </c>
    </row>
    <row r="123" spans="1:13">
      <c r="A123" s="4" t="s">
        <v>235</v>
      </c>
      <c r="B123" t="s">
        <v>154</v>
      </c>
      <c r="C123" s="2">
        <v>45963</v>
      </c>
      <c r="D123" s="4" t="s">
        <v>22</v>
      </c>
      <c r="E123" s="4" t="s">
        <v>23</v>
      </c>
      <c r="F123" s="6">
        <v>8</v>
      </c>
      <c r="G123" s="6">
        <v>210000</v>
      </c>
      <c r="H123" s="6">
        <v>1680000</v>
      </c>
      <c r="I123" s="6">
        <v>149776.42000000001</v>
      </c>
      <c r="J123" s="6">
        <v>481788.64</v>
      </c>
      <c r="K123" t="s">
        <v>71</v>
      </c>
      <c r="L123" t="s">
        <v>29</v>
      </c>
      <c r="M123" t="s">
        <v>30</v>
      </c>
    </row>
    <row r="124" spans="1:13">
      <c r="A124" s="4" t="s">
        <v>236</v>
      </c>
      <c r="B124" t="s">
        <v>196</v>
      </c>
      <c r="C124" s="2">
        <v>46011</v>
      </c>
      <c r="D124" s="4" t="s">
        <v>45</v>
      </c>
      <c r="E124" s="4" t="s">
        <v>23</v>
      </c>
      <c r="F124" s="6">
        <v>6</v>
      </c>
      <c r="G124" s="6">
        <v>450000</v>
      </c>
      <c r="H124" s="6">
        <v>2700000</v>
      </c>
      <c r="I124" s="6">
        <v>308885.37</v>
      </c>
      <c r="J124" s="6">
        <v>846687.78</v>
      </c>
      <c r="K124" t="s">
        <v>24</v>
      </c>
      <c r="L124" t="s">
        <v>53</v>
      </c>
      <c r="M124" t="s">
        <v>38</v>
      </c>
    </row>
    <row r="125" spans="1:13">
      <c r="A125" s="4" t="s">
        <v>237</v>
      </c>
      <c r="B125" t="s">
        <v>146</v>
      </c>
      <c r="C125" s="2">
        <v>45698</v>
      </c>
      <c r="D125" s="4" t="s">
        <v>63</v>
      </c>
      <c r="E125" s="4" t="s">
        <v>16</v>
      </c>
      <c r="F125" s="6">
        <v>12</v>
      </c>
      <c r="G125" s="6">
        <v>5000</v>
      </c>
      <c r="H125" s="6">
        <v>60000</v>
      </c>
      <c r="I125" s="6">
        <v>3060.9</v>
      </c>
      <c r="J125" s="6">
        <v>23269.200000000001</v>
      </c>
      <c r="K125" t="s">
        <v>80</v>
      </c>
      <c r="L125" t="s">
        <v>18</v>
      </c>
      <c r="M125" t="s">
        <v>38</v>
      </c>
    </row>
    <row r="126" spans="1:13">
      <c r="A126" s="4" t="s">
        <v>238</v>
      </c>
      <c r="B126" t="s">
        <v>222</v>
      </c>
      <c r="C126" s="2">
        <v>45918</v>
      </c>
      <c r="D126" s="4" t="s">
        <v>15</v>
      </c>
      <c r="E126" s="4" t="s">
        <v>16</v>
      </c>
      <c r="F126" s="6">
        <v>8</v>
      </c>
      <c r="G126" s="6">
        <v>8000</v>
      </c>
      <c r="H126" s="6">
        <v>64000</v>
      </c>
      <c r="I126" s="6">
        <v>6091.1</v>
      </c>
      <c r="J126" s="6">
        <v>15271.2</v>
      </c>
      <c r="K126" t="s">
        <v>71</v>
      </c>
      <c r="L126" t="s">
        <v>18</v>
      </c>
      <c r="M126" t="s">
        <v>50</v>
      </c>
    </row>
    <row r="127" spans="1:13">
      <c r="A127" s="4" t="s">
        <v>239</v>
      </c>
      <c r="B127" t="s">
        <v>82</v>
      </c>
      <c r="C127" s="2">
        <v>45976</v>
      </c>
      <c r="D127" s="4" t="s">
        <v>56</v>
      </c>
      <c r="E127" s="4" t="s">
        <v>23</v>
      </c>
      <c r="F127" s="6">
        <v>8</v>
      </c>
      <c r="G127" s="6">
        <v>30000</v>
      </c>
      <c r="H127" s="6">
        <v>240000</v>
      </c>
      <c r="I127" s="6">
        <v>19708.63</v>
      </c>
      <c r="J127" s="6">
        <v>82330.960000000006</v>
      </c>
      <c r="K127" t="s">
        <v>17</v>
      </c>
      <c r="L127" t="s">
        <v>18</v>
      </c>
      <c r="M127" t="s">
        <v>67</v>
      </c>
    </row>
    <row r="128" spans="1:13">
      <c r="A128" s="4" t="s">
        <v>240</v>
      </c>
      <c r="B128" t="s">
        <v>55</v>
      </c>
      <c r="C128" s="2">
        <v>45785</v>
      </c>
      <c r="D128" s="4" t="s">
        <v>56</v>
      </c>
      <c r="E128" s="4" t="s">
        <v>23</v>
      </c>
      <c r="F128" s="6">
        <v>6</v>
      </c>
      <c r="G128" s="6">
        <v>45000</v>
      </c>
      <c r="H128" s="6">
        <v>270000</v>
      </c>
      <c r="I128" s="6">
        <v>31645.360000000001</v>
      </c>
      <c r="J128" s="6">
        <v>80127.839999999997</v>
      </c>
      <c r="K128" t="s">
        <v>24</v>
      </c>
      <c r="L128" t="s">
        <v>29</v>
      </c>
      <c r="M128" t="s">
        <v>34</v>
      </c>
    </row>
    <row r="129" spans="1:13">
      <c r="A129" s="4" t="s">
        <v>241</v>
      </c>
      <c r="B129" t="s">
        <v>55</v>
      </c>
      <c r="C129" s="2">
        <v>45993</v>
      </c>
      <c r="D129" s="4" t="s">
        <v>106</v>
      </c>
      <c r="E129" s="4" t="s">
        <v>23</v>
      </c>
      <c r="F129" s="6">
        <v>6</v>
      </c>
      <c r="G129" s="6">
        <v>120000</v>
      </c>
      <c r="H129" s="6">
        <v>720000</v>
      </c>
      <c r="I129" s="6">
        <v>89891.56</v>
      </c>
      <c r="J129" s="6">
        <v>180650.64</v>
      </c>
      <c r="K129" t="s">
        <v>33</v>
      </c>
      <c r="L129" t="s">
        <v>18</v>
      </c>
      <c r="M129" t="s">
        <v>25</v>
      </c>
    </row>
    <row r="130" spans="1:13">
      <c r="A130" s="4" t="s">
        <v>242</v>
      </c>
      <c r="B130" t="s">
        <v>40</v>
      </c>
      <c r="C130" s="2">
        <v>45874</v>
      </c>
      <c r="D130" s="4" t="s">
        <v>52</v>
      </c>
      <c r="E130" s="4" t="s">
        <v>23</v>
      </c>
      <c r="F130" s="6">
        <v>10</v>
      </c>
      <c r="G130" s="6">
        <v>45000</v>
      </c>
      <c r="H130" s="6">
        <v>450000</v>
      </c>
      <c r="I130" s="6">
        <v>30255.49</v>
      </c>
      <c r="J130" s="6">
        <v>147445.1</v>
      </c>
      <c r="K130" t="s">
        <v>24</v>
      </c>
      <c r="L130" t="s">
        <v>18</v>
      </c>
      <c r="M130" t="s">
        <v>19</v>
      </c>
    </row>
    <row r="131" spans="1:13">
      <c r="A131" s="4" t="s">
        <v>243</v>
      </c>
      <c r="B131" t="s">
        <v>135</v>
      </c>
      <c r="C131" s="2">
        <v>45693</v>
      </c>
      <c r="D131" s="4" t="s">
        <v>70</v>
      </c>
      <c r="E131" s="4" t="s">
        <v>16</v>
      </c>
      <c r="F131" s="6">
        <v>3</v>
      </c>
      <c r="G131" s="6">
        <v>35000</v>
      </c>
      <c r="H131" s="6">
        <v>105000</v>
      </c>
      <c r="I131" s="6">
        <v>25618.639999999999</v>
      </c>
      <c r="J131" s="6">
        <v>28144.080000000002</v>
      </c>
      <c r="K131" t="s">
        <v>17</v>
      </c>
      <c r="L131" t="s">
        <v>18</v>
      </c>
      <c r="M131" t="s">
        <v>25</v>
      </c>
    </row>
    <row r="132" spans="1:13">
      <c r="A132" s="4" t="s">
        <v>244</v>
      </c>
      <c r="B132" t="s">
        <v>245</v>
      </c>
      <c r="C132" s="2">
        <v>45729</v>
      </c>
      <c r="D132" s="4" t="s">
        <v>106</v>
      </c>
      <c r="E132" s="4" t="s">
        <v>23</v>
      </c>
      <c r="F132" s="6">
        <v>9</v>
      </c>
      <c r="G132" s="6">
        <v>120000</v>
      </c>
      <c r="H132" s="6">
        <v>1080000</v>
      </c>
      <c r="I132" s="6">
        <v>77181.16</v>
      </c>
      <c r="J132" s="6">
        <v>385369.56</v>
      </c>
      <c r="K132" t="s">
        <v>17</v>
      </c>
      <c r="L132" t="s">
        <v>18</v>
      </c>
      <c r="M132" t="s">
        <v>67</v>
      </c>
    </row>
    <row r="133" spans="1:13">
      <c r="A133" s="4" t="s">
        <v>246</v>
      </c>
      <c r="B133" t="s">
        <v>205</v>
      </c>
      <c r="C133" s="2">
        <v>45884</v>
      </c>
      <c r="D133" s="4" t="s">
        <v>56</v>
      </c>
      <c r="E133" s="4" t="s">
        <v>23</v>
      </c>
      <c r="F133" s="6">
        <v>9</v>
      </c>
      <c r="G133" s="6">
        <v>45000</v>
      </c>
      <c r="H133" s="6">
        <v>405000</v>
      </c>
      <c r="I133" s="6">
        <v>34011.56</v>
      </c>
      <c r="J133" s="6">
        <v>98895.96</v>
      </c>
      <c r="K133" t="s">
        <v>71</v>
      </c>
      <c r="L133" t="s">
        <v>18</v>
      </c>
      <c r="M133" t="s">
        <v>19</v>
      </c>
    </row>
    <row r="134" spans="1:13">
      <c r="A134" s="4" t="s">
        <v>247</v>
      </c>
      <c r="B134" t="s">
        <v>90</v>
      </c>
      <c r="C134" s="2">
        <v>45955</v>
      </c>
      <c r="D134" s="4" t="s">
        <v>56</v>
      </c>
      <c r="E134" s="4" t="s">
        <v>23</v>
      </c>
      <c r="F134" s="6">
        <v>10</v>
      </c>
      <c r="G134" s="6">
        <v>45000</v>
      </c>
      <c r="H134" s="6">
        <v>450000</v>
      </c>
      <c r="I134" s="6">
        <v>34268.07</v>
      </c>
      <c r="J134" s="6">
        <v>107319.3</v>
      </c>
      <c r="K134" t="s">
        <v>80</v>
      </c>
      <c r="L134" t="s">
        <v>29</v>
      </c>
      <c r="M134" t="s">
        <v>30</v>
      </c>
    </row>
    <row r="135" spans="1:13">
      <c r="A135" s="4" t="s">
        <v>248</v>
      </c>
      <c r="B135" t="s">
        <v>180</v>
      </c>
      <c r="C135" s="2">
        <v>45867</v>
      </c>
      <c r="D135" s="4" t="s">
        <v>52</v>
      </c>
      <c r="E135" s="4" t="s">
        <v>23</v>
      </c>
      <c r="F135" s="6">
        <v>6</v>
      </c>
      <c r="G135" s="6">
        <v>65000</v>
      </c>
      <c r="H135" s="6">
        <v>390000</v>
      </c>
      <c r="I135" s="6">
        <v>48576.45</v>
      </c>
      <c r="J135" s="6">
        <v>98541.3</v>
      </c>
      <c r="K135" t="s">
        <v>71</v>
      </c>
      <c r="L135" t="s">
        <v>53</v>
      </c>
      <c r="M135" t="s">
        <v>30</v>
      </c>
    </row>
    <row r="136" spans="1:13">
      <c r="A136" s="4" t="s">
        <v>249</v>
      </c>
      <c r="B136" t="s">
        <v>250</v>
      </c>
      <c r="C136" s="2">
        <v>45945</v>
      </c>
      <c r="D136" s="4" t="s">
        <v>251</v>
      </c>
      <c r="E136" s="4" t="s">
        <v>23</v>
      </c>
      <c r="F136" s="6">
        <v>4</v>
      </c>
      <c r="G136" s="6">
        <v>210000</v>
      </c>
      <c r="H136" s="6">
        <v>840000</v>
      </c>
      <c r="I136" s="6">
        <v>149682.44</v>
      </c>
      <c r="J136" s="6">
        <v>241270.24</v>
      </c>
      <c r="K136" t="s">
        <v>80</v>
      </c>
      <c r="L136" t="s">
        <v>18</v>
      </c>
      <c r="M136" t="s">
        <v>30</v>
      </c>
    </row>
    <row r="137" spans="1:13">
      <c r="A137" s="4" t="s">
        <v>252</v>
      </c>
      <c r="B137" t="s">
        <v>250</v>
      </c>
      <c r="C137" s="2">
        <v>45699</v>
      </c>
      <c r="D137" s="4" t="s">
        <v>28</v>
      </c>
      <c r="E137" s="4" t="s">
        <v>23</v>
      </c>
      <c r="F137" s="6">
        <v>7</v>
      </c>
      <c r="G137" s="6">
        <v>180000</v>
      </c>
      <c r="H137" s="6">
        <v>1260000</v>
      </c>
      <c r="I137" s="6">
        <v>116857.7</v>
      </c>
      <c r="J137" s="6">
        <v>441996.1</v>
      </c>
      <c r="K137" t="s">
        <v>17</v>
      </c>
      <c r="L137" t="s">
        <v>53</v>
      </c>
      <c r="M137" t="s">
        <v>19</v>
      </c>
    </row>
    <row r="138" spans="1:13">
      <c r="A138" s="4" t="s">
        <v>253</v>
      </c>
      <c r="B138" t="s">
        <v>149</v>
      </c>
      <c r="C138" s="2">
        <v>45989</v>
      </c>
      <c r="D138" s="4" t="s">
        <v>28</v>
      </c>
      <c r="E138" s="4" t="s">
        <v>23</v>
      </c>
      <c r="F138" s="6">
        <v>1</v>
      </c>
      <c r="G138" s="6">
        <v>180000</v>
      </c>
      <c r="H138" s="6">
        <v>180000</v>
      </c>
      <c r="I138" s="6">
        <v>135561.85</v>
      </c>
      <c r="J138" s="6">
        <v>44438.15</v>
      </c>
      <c r="K138" t="s">
        <v>80</v>
      </c>
      <c r="L138" t="s">
        <v>53</v>
      </c>
      <c r="M138" t="s">
        <v>67</v>
      </c>
    </row>
    <row r="139" spans="1:13">
      <c r="A139" s="4" t="s">
        <v>254</v>
      </c>
      <c r="B139" t="s">
        <v>94</v>
      </c>
      <c r="C139" s="2">
        <v>45671</v>
      </c>
      <c r="D139" s="4" t="s">
        <v>28</v>
      </c>
      <c r="E139" s="4" t="s">
        <v>23</v>
      </c>
      <c r="F139" s="6">
        <v>4</v>
      </c>
      <c r="G139" s="6">
        <v>180000</v>
      </c>
      <c r="H139" s="6">
        <v>720000</v>
      </c>
      <c r="I139" s="6">
        <v>131969.84</v>
      </c>
      <c r="J139" s="6">
        <v>192120.64</v>
      </c>
      <c r="K139" t="s">
        <v>80</v>
      </c>
      <c r="L139" t="s">
        <v>53</v>
      </c>
      <c r="M139" t="s">
        <v>19</v>
      </c>
    </row>
    <row r="140" spans="1:13">
      <c r="A140" s="4" t="s">
        <v>255</v>
      </c>
      <c r="B140" t="s">
        <v>109</v>
      </c>
      <c r="C140" s="2">
        <v>45698</v>
      </c>
      <c r="D140" s="4" t="s">
        <v>37</v>
      </c>
      <c r="E140" s="4" t="s">
        <v>16</v>
      </c>
      <c r="F140" s="6">
        <v>8</v>
      </c>
      <c r="G140" s="6">
        <v>18000</v>
      </c>
      <c r="H140" s="6">
        <v>144000</v>
      </c>
      <c r="I140" s="6">
        <v>13901.45</v>
      </c>
      <c r="J140" s="6">
        <v>32788.400000000001</v>
      </c>
      <c r="K140" t="s">
        <v>17</v>
      </c>
      <c r="L140" t="s">
        <v>29</v>
      </c>
      <c r="M140" t="s">
        <v>30</v>
      </c>
    </row>
    <row r="141" spans="1:13">
      <c r="A141" s="4" t="s">
        <v>256</v>
      </c>
      <c r="B141" t="s">
        <v>94</v>
      </c>
      <c r="C141" s="2">
        <v>45927</v>
      </c>
      <c r="D141" s="4" t="s">
        <v>22</v>
      </c>
      <c r="E141" s="4" t="s">
        <v>23</v>
      </c>
      <c r="F141" s="6">
        <v>4</v>
      </c>
      <c r="G141" s="6">
        <v>210000</v>
      </c>
      <c r="H141" s="6">
        <v>840000</v>
      </c>
      <c r="I141" s="6">
        <v>131664.07</v>
      </c>
      <c r="J141" s="6">
        <v>313343.71999999997</v>
      </c>
      <c r="K141" t="s">
        <v>33</v>
      </c>
      <c r="L141" t="s">
        <v>29</v>
      </c>
      <c r="M141" t="s">
        <v>38</v>
      </c>
    </row>
    <row r="142" spans="1:13">
      <c r="A142" s="4" t="s">
        <v>257</v>
      </c>
      <c r="B142" t="s">
        <v>125</v>
      </c>
      <c r="C142" s="2">
        <v>45842</v>
      </c>
      <c r="D142" s="4" t="s">
        <v>28</v>
      </c>
      <c r="E142" s="4" t="s">
        <v>23</v>
      </c>
      <c r="F142" s="6">
        <v>5</v>
      </c>
      <c r="G142" s="6">
        <v>180000</v>
      </c>
      <c r="H142" s="6">
        <v>900000</v>
      </c>
      <c r="I142" s="6">
        <v>135542.85999999999</v>
      </c>
      <c r="J142" s="6">
        <v>222285.7</v>
      </c>
      <c r="K142" t="s">
        <v>33</v>
      </c>
      <c r="L142" t="s">
        <v>18</v>
      </c>
      <c r="M142" t="s">
        <v>50</v>
      </c>
    </row>
    <row r="143" spans="1:13">
      <c r="A143" s="4" t="s">
        <v>258</v>
      </c>
      <c r="B143" t="s">
        <v>200</v>
      </c>
      <c r="C143" s="2">
        <v>46010</v>
      </c>
      <c r="D143" s="4" t="s">
        <v>106</v>
      </c>
      <c r="E143" s="4" t="s">
        <v>23</v>
      </c>
      <c r="F143" s="6">
        <v>11</v>
      </c>
      <c r="G143" s="6">
        <v>120000</v>
      </c>
      <c r="H143" s="6">
        <v>1320000</v>
      </c>
      <c r="I143" s="6">
        <v>86791</v>
      </c>
      <c r="J143" s="6">
        <v>365299</v>
      </c>
      <c r="K143" t="s">
        <v>33</v>
      </c>
      <c r="L143" t="s">
        <v>18</v>
      </c>
      <c r="M143" t="s">
        <v>50</v>
      </c>
    </row>
    <row r="144" spans="1:13">
      <c r="A144" s="4" t="s">
        <v>259</v>
      </c>
      <c r="B144" t="s">
        <v>156</v>
      </c>
      <c r="C144" s="2">
        <v>45959</v>
      </c>
      <c r="D144" s="4" t="s">
        <v>52</v>
      </c>
      <c r="E144" s="4" t="s">
        <v>23</v>
      </c>
      <c r="F144" s="6">
        <v>3</v>
      </c>
      <c r="G144" s="6">
        <v>65000</v>
      </c>
      <c r="H144" s="6">
        <v>195000</v>
      </c>
      <c r="I144" s="6">
        <v>42486.44</v>
      </c>
      <c r="J144" s="6">
        <v>67540.679999999993</v>
      </c>
      <c r="K144" t="s">
        <v>24</v>
      </c>
      <c r="L144" t="s">
        <v>53</v>
      </c>
      <c r="M144" t="s">
        <v>50</v>
      </c>
    </row>
    <row r="145" spans="1:13">
      <c r="A145" s="4" t="s">
        <v>260</v>
      </c>
      <c r="B145" t="s">
        <v>261</v>
      </c>
      <c r="C145" s="2">
        <v>45895</v>
      </c>
      <c r="D145" s="4" t="s">
        <v>106</v>
      </c>
      <c r="E145" s="4" t="s">
        <v>23</v>
      </c>
      <c r="F145" s="6">
        <v>1</v>
      </c>
      <c r="G145" s="6">
        <v>120000</v>
      </c>
      <c r="H145" s="6">
        <v>120000</v>
      </c>
      <c r="I145" s="6">
        <v>93019.54</v>
      </c>
      <c r="J145" s="6">
        <v>26980.46</v>
      </c>
      <c r="K145" t="s">
        <v>24</v>
      </c>
      <c r="L145" t="s">
        <v>29</v>
      </c>
      <c r="M145" t="s">
        <v>34</v>
      </c>
    </row>
    <row r="146" spans="1:13">
      <c r="A146" s="4" t="s">
        <v>262</v>
      </c>
      <c r="B146" t="s">
        <v>193</v>
      </c>
      <c r="C146" s="2">
        <v>45999</v>
      </c>
      <c r="D146" s="4" t="s">
        <v>37</v>
      </c>
      <c r="E146" s="4" t="s">
        <v>16</v>
      </c>
      <c r="F146" s="6">
        <v>2</v>
      </c>
      <c r="G146" s="6">
        <v>18000</v>
      </c>
      <c r="H146" s="6">
        <v>36000</v>
      </c>
      <c r="I146" s="6">
        <v>13810.1</v>
      </c>
      <c r="J146" s="6">
        <v>8379.7999999999993</v>
      </c>
      <c r="K146" t="s">
        <v>33</v>
      </c>
      <c r="L146" t="s">
        <v>18</v>
      </c>
      <c r="M146" t="s">
        <v>50</v>
      </c>
    </row>
    <row r="147" spans="1:13">
      <c r="A147" s="4" t="s">
        <v>263</v>
      </c>
      <c r="B147" t="s">
        <v>96</v>
      </c>
      <c r="C147" s="2">
        <v>45963</v>
      </c>
      <c r="D147" s="4" t="s">
        <v>56</v>
      </c>
      <c r="E147" s="4" t="s">
        <v>23</v>
      </c>
      <c r="F147" s="6">
        <v>5</v>
      </c>
      <c r="G147" s="6">
        <v>30000</v>
      </c>
      <c r="H147" s="6">
        <v>150000</v>
      </c>
      <c r="I147" s="6">
        <v>18086.009999999998</v>
      </c>
      <c r="J147" s="6">
        <v>59569.95</v>
      </c>
      <c r="K147" t="s">
        <v>71</v>
      </c>
      <c r="L147" t="s">
        <v>29</v>
      </c>
      <c r="M147" t="s">
        <v>50</v>
      </c>
    </row>
    <row r="148" spans="1:13">
      <c r="A148" s="4" t="s">
        <v>264</v>
      </c>
      <c r="B148" t="s">
        <v>92</v>
      </c>
      <c r="C148" s="2">
        <v>45951</v>
      </c>
      <c r="D148" s="4" t="s">
        <v>15</v>
      </c>
      <c r="E148" s="4" t="s">
        <v>16</v>
      </c>
      <c r="F148" s="6">
        <v>10</v>
      </c>
      <c r="G148" s="6">
        <v>8000</v>
      </c>
      <c r="H148" s="6">
        <v>80000</v>
      </c>
      <c r="I148" s="6">
        <v>4898.67</v>
      </c>
      <c r="J148" s="6">
        <v>31013.3</v>
      </c>
      <c r="K148" t="s">
        <v>17</v>
      </c>
      <c r="L148" t="s">
        <v>18</v>
      </c>
      <c r="M148" t="s">
        <v>50</v>
      </c>
    </row>
    <row r="149" spans="1:13">
      <c r="A149" s="4" t="s">
        <v>265</v>
      </c>
      <c r="B149" t="s">
        <v>266</v>
      </c>
      <c r="C149" s="2">
        <v>45743</v>
      </c>
      <c r="D149" s="4" t="s">
        <v>45</v>
      </c>
      <c r="E149" s="4" t="s">
        <v>23</v>
      </c>
      <c r="F149" s="6">
        <v>5</v>
      </c>
      <c r="G149" s="6">
        <v>450000</v>
      </c>
      <c r="H149" s="6">
        <v>2250000</v>
      </c>
      <c r="I149" s="6">
        <v>316797.19</v>
      </c>
      <c r="J149" s="6">
        <v>666014.05000000005</v>
      </c>
      <c r="K149" t="s">
        <v>33</v>
      </c>
      <c r="L149" t="s">
        <v>18</v>
      </c>
      <c r="M149" t="s">
        <v>38</v>
      </c>
    </row>
    <row r="150" spans="1:13">
      <c r="A150" s="4" t="s">
        <v>267</v>
      </c>
      <c r="B150" t="s">
        <v>96</v>
      </c>
      <c r="C150" s="2">
        <v>45865</v>
      </c>
      <c r="D150" s="4" t="s">
        <v>52</v>
      </c>
      <c r="E150" s="4" t="s">
        <v>23</v>
      </c>
      <c r="F150" s="6">
        <v>5</v>
      </c>
      <c r="G150" s="6">
        <v>65000</v>
      </c>
      <c r="H150" s="6">
        <v>325000</v>
      </c>
      <c r="I150" s="6">
        <v>38838.379999999997</v>
      </c>
      <c r="J150" s="6">
        <v>130808.1</v>
      </c>
      <c r="K150" t="s">
        <v>71</v>
      </c>
      <c r="L150" t="s">
        <v>29</v>
      </c>
      <c r="M150" t="s">
        <v>30</v>
      </c>
    </row>
    <row r="151" spans="1:13">
      <c r="A151" s="4" t="s">
        <v>268</v>
      </c>
      <c r="B151" t="s">
        <v>88</v>
      </c>
      <c r="C151" s="2">
        <v>45922</v>
      </c>
      <c r="D151" s="4" t="s">
        <v>56</v>
      </c>
      <c r="E151" s="4" t="s">
        <v>23</v>
      </c>
      <c r="F151" s="6">
        <v>2</v>
      </c>
      <c r="G151" s="6">
        <v>45000</v>
      </c>
      <c r="H151" s="6">
        <v>90000</v>
      </c>
      <c r="I151" s="6">
        <v>27005.85</v>
      </c>
      <c r="J151" s="6">
        <v>35988.300000000003</v>
      </c>
      <c r="K151" t="s">
        <v>24</v>
      </c>
      <c r="L151" t="s">
        <v>29</v>
      </c>
      <c r="M151" t="s">
        <v>25</v>
      </c>
    </row>
    <row r="152" spans="1:13">
      <c r="A152" s="4" t="s">
        <v>269</v>
      </c>
      <c r="B152" t="s">
        <v>40</v>
      </c>
      <c r="C152" s="2">
        <v>45670</v>
      </c>
      <c r="D152" s="4" t="s">
        <v>270</v>
      </c>
      <c r="E152" s="4" t="s">
        <v>23</v>
      </c>
      <c r="F152" s="6">
        <v>10</v>
      </c>
      <c r="G152" s="6">
        <v>450000</v>
      </c>
      <c r="H152" s="6">
        <v>4500000</v>
      </c>
      <c r="I152" s="6">
        <v>267143.25</v>
      </c>
      <c r="J152" s="6">
        <v>1828567.5</v>
      </c>
      <c r="K152" t="s">
        <v>71</v>
      </c>
      <c r="L152" t="s">
        <v>18</v>
      </c>
      <c r="M152" t="s">
        <v>38</v>
      </c>
    </row>
    <row r="153" spans="1:13">
      <c r="A153" s="4" t="s">
        <v>271</v>
      </c>
      <c r="B153" t="s">
        <v>174</v>
      </c>
      <c r="C153" s="2">
        <v>45711</v>
      </c>
      <c r="D153" s="4" t="s">
        <v>106</v>
      </c>
      <c r="E153" s="4" t="s">
        <v>23</v>
      </c>
      <c r="F153" s="6">
        <v>2</v>
      </c>
      <c r="G153" s="6">
        <v>150000</v>
      </c>
      <c r="H153" s="6">
        <v>300000</v>
      </c>
      <c r="I153" s="6">
        <v>93123.79</v>
      </c>
      <c r="J153" s="6">
        <v>113752.42</v>
      </c>
      <c r="K153" t="s">
        <v>71</v>
      </c>
      <c r="L153" t="s">
        <v>18</v>
      </c>
      <c r="M153" t="s">
        <v>67</v>
      </c>
    </row>
    <row r="154" spans="1:13">
      <c r="A154" s="4" t="s">
        <v>272</v>
      </c>
      <c r="B154" t="s">
        <v>111</v>
      </c>
      <c r="C154" s="2">
        <v>45907</v>
      </c>
      <c r="D154" s="4" t="s">
        <v>63</v>
      </c>
      <c r="E154" s="4" t="s">
        <v>16</v>
      </c>
      <c r="F154" s="6">
        <v>8</v>
      </c>
      <c r="G154" s="6">
        <v>7000</v>
      </c>
      <c r="H154" s="6">
        <v>56000</v>
      </c>
      <c r="I154" s="6">
        <v>4071.08</v>
      </c>
      <c r="J154" s="6">
        <v>23431.360000000001</v>
      </c>
      <c r="K154" t="s">
        <v>80</v>
      </c>
      <c r="L154" t="s">
        <v>53</v>
      </c>
      <c r="M154" t="s">
        <v>50</v>
      </c>
    </row>
    <row r="155" spans="1:13">
      <c r="A155" s="4" t="s">
        <v>273</v>
      </c>
      <c r="B155" t="s">
        <v>79</v>
      </c>
      <c r="C155" s="2">
        <v>45853</v>
      </c>
      <c r="D155" s="4" t="s">
        <v>70</v>
      </c>
      <c r="E155" s="4" t="s">
        <v>16</v>
      </c>
      <c r="F155" s="6">
        <v>7</v>
      </c>
      <c r="G155" s="6">
        <v>35000</v>
      </c>
      <c r="H155" s="6">
        <v>245000</v>
      </c>
      <c r="I155" s="6">
        <v>22074.22</v>
      </c>
      <c r="J155" s="6">
        <v>90480.46</v>
      </c>
      <c r="K155" t="s">
        <v>80</v>
      </c>
      <c r="L155" t="s">
        <v>53</v>
      </c>
      <c r="M155" t="s">
        <v>50</v>
      </c>
    </row>
    <row r="156" spans="1:13">
      <c r="A156" s="4" t="s">
        <v>274</v>
      </c>
      <c r="B156" t="s">
        <v>154</v>
      </c>
      <c r="C156" s="2">
        <v>45710</v>
      </c>
      <c r="D156" s="4" t="s">
        <v>15</v>
      </c>
      <c r="E156" s="4" t="s">
        <v>16</v>
      </c>
      <c r="F156" s="6">
        <v>5</v>
      </c>
      <c r="G156" s="6">
        <v>10000</v>
      </c>
      <c r="H156" s="6">
        <v>50000</v>
      </c>
      <c r="I156" s="6">
        <v>6100.09</v>
      </c>
      <c r="J156" s="6">
        <v>19499.55</v>
      </c>
      <c r="K156" t="s">
        <v>17</v>
      </c>
      <c r="L156" t="s">
        <v>53</v>
      </c>
      <c r="M156" t="s">
        <v>67</v>
      </c>
    </row>
    <row r="157" spans="1:13">
      <c r="A157" s="4" t="s">
        <v>275</v>
      </c>
      <c r="B157" t="s">
        <v>79</v>
      </c>
      <c r="C157" s="2">
        <v>46022</v>
      </c>
      <c r="D157" s="4" t="s">
        <v>106</v>
      </c>
      <c r="E157" s="4" t="s">
        <v>23</v>
      </c>
      <c r="F157" s="6">
        <v>10</v>
      </c>
      <c r="G157" s="6">
        <v>120000</v>
      </c>
      <c r="H157" s="6">
        <v>1200000</v>
      </c>
      <c r="I157" s="6">
        <v>96836.62</v>
      </c>
      <c r="J157" s="6">
        <v>231633.8</v>
      </c>
      <c r="K157" t="s">
        <v>80</v>
      </c>
      <c r="L157" t="s">
        <v>29</v>
      </c>
      <c r="M157" t="s">
        <v>67</v>
      </c>
    </row>
    <row r="158" spans="1:13">
      <c r="A158" s="4" t="s">
        <v>276</v>
      </c>
      <c r="B158" t="s">
        <v>266</v>
      </c>
      <c r="C158" s="2">
        <v>45881</v>
      </c>
      <c r="D158" s="4" t="s">
        <v>28</v>
      </c>
      <c r="E158" s="4" t="s">
        <v>23</v>
      </c>
      <c r="F158" s="6">
        <v>2</v>
      </c>
      <c r="G158" s="6">
        <v>180000</v>
      </c>
      <c r="H158" s="6">
        <v>360000</v>
      </c>
      <c r="I158" s="6">
        <v>123221.23</v>
      </c>
      <c r="J158" s="6">
        <v>113557.54</v>
      </c>
      <c r="K158" t="s">
        <v>33</v>
      </c>
      <c r="L158" t="s">
        <v>53</v>
      </c>
      <c r="M158" t="s">
        <v>30</v>
      </c>
    </row>
    <row r="159" spans="1:13">
      <c r="A159" s="4" t="s">
        <v>277</v>
      </c>
      <c r="B159" t="s">
        <v>278</v>
      </c>
      <c r="C159" s="2">
        <v>45929</v>
      </c>
      <c r="D159" s="4" t="s">
        <v>45</v>
      </c>
      <c r="E159" s="4" t="s">
        <v>23</v>
      </c>
      <c r="F159" s="6">
        <v>12</v>
      </c>
      <c r="G159" s="6">
        <v>450000</v>
      </c>
      <c r="H159" s="6">
        <v>5400000</v>
      </c>
      <c r="I159" s="6">
        <v>320748.44</v>
      </c>
      <c r="J159" s="6">
        <v>1551018.72</v>
      </c>
      <c r="K159" t="s">
        <v>33</v>
      </c>
      <c r="L159" t="s">
        <v>29</v>
      </c>
      <c r="M159" t="s">
        <v>25</v>
      </c>
    </row>
    <row r="160" spans="1:13">
      <c r="A160" s="4" t="s">
        <v>279</v>
      </c>
      <c r="B160" t="s">
        <v>180</v>
      </c>
      <c r="C160" s="2">
        <v>46001</v>
      </c>
      <c r="D160" s="4" t="s">
        <v>15</v>
      </c>
      <c r="E160" s="4" t="s">
        <v>16</v>
      </c>
      <c r="F160" s="6">
        <v>10</v>
      </c>
      <c r="G160" s="6">
        <v>8000</v>
      </c>
      <c r="H160" s="6">
        <v>80000</v>
      </c>
      <c r="I160" s="6">
        <v>6274.66</v>
      </c>
      <c r="J160" s="6">
        <v>17253.400000000001</v>
      </c>
      <c r="K160" t="s">
        <v>80</v>
      </c>
      <c r="L160" t="s">
        <v>18</v>
      </c>
      <c r="M160" t="s">
        <v>25</v>
      </c>
    </row>
    <row r="161" spans="1:13">
      <c r="A161" s="4" t="s">
        <v>280</v>
      </c>
      <c r="B161" t="s">
        <v>149</v>
      </c>
      <c r="C161" s="2">
        <v>46008</v>
      </c>
      <c r="D161" s="4" t="s">
        <v>52</v>
      </c>
      <c r="E161" s="4" t="s">
        <v>23</v>
      </c>
      <c r="F161" s="6">
        <v>6</v>
      </c>
      <c r="G161" s="6">
        <v>65000</v>
      </c>
      <c r="H161" s="6">
        <v>390000</v>
      </c>
      <c r="I161" s="6">
        <v>49608.43</v>
      </c>
      <c r="J161" s="6">
        <v>92349.42</v>
      </c>
      <c r="K161" t="s">
        <v>80</v>
      </c>
      <c r="L161" t="s">
        <v>29</v>
      </c>
      <c r="M161" t="s">
        <v>50</v>
      </c>
    </row>
    <row r="162" spans="1:13">
      <c r="A162" s="4" t="s">
        <v>281</v>
      </c>
      <c r="B162" t="s">
        <v>222</v>
      </c>
      <c r="C162" s="2">
        <v>45842</v>
      </c>
      <c r="D162" s="4" t="s">
        <v>37</v>
      </c>
      <c r="E162" s="4" t="s">
        <v>16</v>
      </c>
      <c r="F162" s="6">
        <v>1</v>
      </c>
      <c r="G162" s="6">
        <v>25000</v>
      </c>
      <c r="H162" s="6">
        <v>25000</v>
      </c>
      <c r="I162" s="6">
        <v>15806.73</v>
      </c>
      <c r="J162" s="6">
        <v>9193.27</v>
      </c>
      <c r="K162" t="s">
        <v>71</v>
      </c>
      <c r="L162" t="s">
        <v>18</v>
      </c>
      <c r="M162" t="s">
        <v>30</v>
      </c>
    </row>
    <row r="163" spans="1:13">
      <c r="A163" s="4" t="s">
        <v>282</v>
      </c>
      <c r="B163" t="s">
        <v>40</v>
      </c>
      <c r="C163" s="2">
        <v>45957</v>
      </c>
      <c r="D163" s="4" t="s">
        <v>52</v>
      </c>
      <c r="E163" s="4" t="s">
        <v>23</v>
      </c>
      <c r="F163" s="6">
        <v>9</v>
      </c>
      <c r="G163" s="6">
        <v>85000</v>
      </c>
      <c r="H163" s="6">
        <v>765000</v>
      </c>
      <c r="I163" s="6">
        <v>55933.78</v>
      </c>
      <c r="J163" s="6">
        <v>261595.98</v>
      </c>
      <c r="K163" t="s">
        <v>33</v>
      </c>
      <c r="L163" t="s">
        <v>29</v>
      </c>
      <c r="M163" t="s">
        <v>30</v>
      </c>
    </row>
    <row r="164" spans="1:13">
      <c r="A164" s="4" t="s">
        <v>283</v>
      </c>
      <c r="B164" t="s">
        <v>62</v>
      </c>
      <c r="C164" s="2">
        <v>46014</v>
      </c>
      <c r="D164" s="4" t="s">
        <v>15</v>
      </c>
      <c r="E164" s="4" t="s">
        <v>16</v>
      </c>
      <c r="F164" s="6">
        <v>9</v>
      </c>
      <c r="G164" s="6">
        <v>10000</v>
      </c>
      <c r="H164" s="6">
        <v>90000</v>
      </c>
      <c r="I164" s="6">
        <v>5920.52</v>
      </c>
      <c r="J164" s="6">
        <v>36715.32</v>
      </c>
      <c r="K164" t="s">
        <v>17</v>
      </c>
      <c r="L164" t="s">
        <v>29</v>
      </c>
      <c r="M164" t="s">
        <v>50</v>
      </c>
    </row>
    <row r="165" spans="1:13">
      <c r="A165" s="4" t="s">
        <v>284</v>
      </c>
      <c r="B165" t="s">
        <v>205</v>
      </c>
      <c r="C165" s="2">
        <v>45709</v>
      </c>
      <c r="D165" s="4" t="s">
        <v>45</v>
      </c>
      <c r="E165" s="4" t="s">
        <v>23</v>
      </c>
      <c r="F165" s="6">
        <v>7</v>
      </c>
      <c r="G165" s="6">
        <v>520000</v>
      </c>
      <c r="H165" s="6">
        <v>3640000</v>
      </c>
      <c r="I165" s="6">
        <v>391126.29</v>
      </c>
      <c r="J165" s="6">
        <v>902115.97</v>
      </c>
      <c r="K165" t="s">
        <v>71</v>
      </c>
      <c r="L165" t="s">
        <v>53</v>
      </c>
      <c r="M165" t="s">
        <v>25</v>
      </c>
    </row>
    <row r="166" spans="1:13">
      <c r="A166" s="4" t="s">
        <v>285</v>
      </c>
      <c r="B166" t="s">
        <v>60</v>
      </c>
      <c r="C166" s="2">
        <v>45714</v>
      </c>
      <c r="D166" s="4" t="s">
        <v>66</v>
      </c>
      <c r="E166" s="4" t="s">
        <v>49</v>
      </c>
      <c r="F166" s="6">
        <v>9</v>
      </c>
      <c r="G166" s="6">
        <v>90000</v>
      </c>
      <c r="H166" s="6">
        <v>810000</v>
      </c>
      <c r="I166" s="6">
        <v>62909.63</v>
      </c>
      <c r="J166" s="6">
        <v>243813.33</v>
      </c>
      <c r="K166" t="s">
        <v>24</v>
      </c>
      <c r="L166" t="s">
        <v>18</v>
      </c>
      <c r="M166" t="s">
        <v>38</v>
      </c>
    </row>
    <row r="167" spans="1:13">
      <c r="A167" s="4" t="s">
        <v>286</v>
      </c>
      <c r="B167" t="s">
        <v>208</v>
      </c>
      <c r="C167" s="2">
        <v>45958</v>
      </c>
      <c r="D167" s="4" t="s">
        <v>45</v>
      </c>
      <c r="E167" s="4" t="s">
        <v>23</v>
      </c>
      <c r="F167" s="6">
        <v>9</v>
      </c>
      <c r="G167" s="6">
        <v>650000</v>
      </c>
      <c r="H167" s="6">
        <v>5850000</v>
      </c>
      <c r="I167" s="6">
        <v>428424.77</v>
      </c>
      <c r="J167" s="6">
        <v>1994177.07</v>
      </c>
      <c r="K167" t="s">
        <v>80</v>
      </c>
      <c r="L167" t="s">
        <v>29</v>
      </c>
      <c r="M167" t="s">
        <v>34</v>
      </c>
    </row>
    <row r="168" spans="1:13">
      <c r="A168" s="4" t="s">
        <v>287</v>
      </c>
      <c r="B168" t="s">
        <v>213</v>
      </c>
      <c r="C168" s="2">
        <v>45841</v>
      </c>
      <c r="D168" s="4" t="s">
        <v>56</v>
      </c>
      <c r="E168" s="4" t="s">
        <v>23</v>
      </c>
      <c r="F168" s="6">
        <v>8</v>
      </c>
      <c r="G168" s="6">
        <v>70000</v>
      </c>
      <c r="H168" s="6">
        <v>560000</v>
      </c>
      <c r="I168" s="6">
        <v>53728.11</v>
      </c>
      <c r="J168" s="6">
        <v>130175.12</v>
      </c>
      <c r="K168" t="s">
        <v>33</v>
      </c>
      <c r="L168" t="s">
        <v>18</v>
      </c>
      <c r="M168" t="s">
        <v>19</v>
      </c>
    </row>
    <row r="169" spans="1:13">
      <c r="A169" s="4" t="s">
        <v>288</v>
      </c>
      <c r="B169" t="s">
        <v>169</v>
      </c>
      <c r="C169" s="2">
        <v>45733</v>
      </c>
      <c r="D169" s="4" t="s">
        <v>15</v>
      </c>
      <c r="E169" s="4" t="s">
        <v>16</v>
      </c>
      <c r="F169" s="6">
        <f>Cleaned_Data4[[#This Row],[Sales_Amount]]/Cleaned_Data4[[#This Row],[Unit_Price]]</f>
        <v>1</v>
      </c>
      <c r="G169" s="6">
        <v>12500</v>
      </c>
      <c r="H169" s="6">
        <v>12500</v>
      </c>
      <c r="I169" s="6">
        <v>8297.06</v>
      </c>
      <c r="J169" s="6">
        <v>4202.9399999999996</v>
      </c>
      <c r="K169" t="s">
        <v>17</v>
      </c>
      <c r="L169" t="s">
        <v>18</v>
      </c>
      <c r="M169" t="s">
        <v>25</v>
      </c>
    </row>
    <row r="170" spans="1:13">
      <c r="A170" s="4" t="s">
        <v>289</v>
      </c>
      <c r="B170" t="s">
        <v>109</v>
      </c>
      <c r="C170" s="2">
        <v>45698</v>
      </c>
      <c r="D170" s="4" t="s">
        <v>28</v>
      </c>
      <c r="E170" s="4" t="s">
        <v>23</v>
      </c>
      <c r="F170" s="6">
        <v>6</v>
      </c>
      <c r="G170" s="6">
        <v>300000</v>
      </c>
      <c r="H170" s="6">
        <v>1800000</v>
      </c>
      <c r="I170" s="6">
        <v>195286.08</v>
      </c>
      <c r="J170" s="6">
        <v>628283.52</v>
      </c>
      <c r="K170" t="s">
        <v>33</v>
      </c>
      <c r="L170" t="s">
        <v>18</v>
      </c>
      <c r="M170" t="s">
        <v>30</v>
      </c>
    </row>
    <row r="171" spans="1:13">
      <c r="A171" s="4" t="s">
        <v>290</v>
      </c>
      <c r="B171" t="s">
        <v>73</v>
      </c>
      <c r="C171" s="2">
        <v>45782</v>
      </c>
      <c r="D171" s="4" t="s">
        <v>63</v>
      </c>
      <c r="E171" s="4" t="s">
        <v>16</v>
      </c>
      <c r="F171" s="6">
        <v>3</v>
      </c>
      <c r="G171" s="6">
        <v>7000</v>
      </c>
      <c r="H171" s="6">
        <v>21000</v>
      </c>
      <c r="I171" s="6">
        <v>4404.75</v>
      </c>
      <c r="J171" s="6">
        <v>7785.75</v>
      </c>
      <c r="K171" t="s">
        <v>33</v>
      </c>
      <c r="L171" t="s">
        <v>29</v>
      </c>
      <c r="M171" t="s">
        <v>25</v>
      </c>
    </row>
    <row r="172" spans="1:13">
      <c r="A172" s="4" t="s">
        <v>291</v>
      </c>
      <c r="B172" t="s">
        <v>292</v>
      </c>
      <c r="C172" s="2">
        <v>45665</v>
      </c>
      <c r="D172" s="4" t="s">
        <v>70</v>
      </c>
      <c r="E172" s="4" t="s">
        <v>16</v>
      </c>
      <c r="F172" s="6">
        <v>5</v>
      </c>
      <c r="G172" s="6">
        <v>22000</v>
      </c>
      <c r="H172" s="6">
        <v>110000</v>
      </c>
      <c r="I172" s="6">
        <v>13935.09</v>
      </c>
      <c r="J172" s="6">
        <v>40324.550000000003</v>
      </c>
      <c r="K172" t="s">
        <v>71</v>
      </c>
      <c r="L172" t="s">
        <v>53</v>
      </c>
      <c r="M172" t="s">
        <v>67</v>
      </c>
    </row>
    <row r="173" spans="1:13">
      <c r="A173" s="4" t="s">
        <v>293</v>
      </c>
      <c r="B173" t="s">
        <v>294</v>
      </c>
      <c r="C173" s="2">
        <v>45875</v>
      </c>
      <c r="D173" s="4" t="s">
        <v>28</v>
      </c>
      <c r="E173" s="4" t="s">
        <v>23</v>
      </c>
      <c r="F173" s="6">
        <v>2</v>
      </c>
      <c r="G173" s="6">
        <v>220000</v>
      </c>
      <c r="H173" s="6">
        <v>440000</v>
      </c>
      <c r="I173" s="6">
        <v>159409.53</v>
      </c>
      <c r="J173" s="6">
        <v>121180.94</v>
      </c>
      <c r="K173" t="s">
        <v>33</v>
      </c>
      <c r="L173" t="s">
        <v>29</v>
      </c>
      <c r="M173" t="s">
        <v>19</v>
      </c>
    </row>
    <row r="174" spans="1:13">
      <c r="A174" s="4" t="s">
        <v>295</v>
      </c>
      <c r="B174" t="s">
        <v>75</v>
      </c>
      <c r="C174" s="2">
        <v>45773</v>
      </c>
      <c r="D174" s="4" t="s">
        <v>56</v>
      </c>
      <c r="E174" s="4" t="s">
        <v>23</v>
      </c>
      <c r="F174" s="6">
        <v>6</v>
      </c>
      <c r="G174" s="6">
        <v>45000</v>
      </c>
      <c r="H174" s="6">
        <v>270000</v>
      </c>
      <c r="I174" s="6">
        <v>35797.68</v>
      </c>
      <c r="J174" s="6">
        <v>55213.919999999998</v>
      </c>
      <c r="K174" t="s">
        <v>80</v>
      </c>
      <c r="L174" t="s">
        <v>29</v>
      </c>
      <c r="M174" t="s">
        <v>67</v>
      </c>
    </row>
    <row r="175" spans="1:13">
      <c r="A175" s="4" t="s">
        <v>296</v>
      </c>
      <c r="B175" t="s">
        <v>27</v>
      </c>
      <c r="C175" s="2">
        <v>45920</v>
      </c>
      <c r="D175" s="4" t="s">
        <v>48</v>
      </c>
      <c r="E175" s="4" t="s">
        <v>49</v>
      </c>
      <c r="F175" s="6">
        <v>9</v>
      </c>
      <c r="G175" s="6">
        <v>200000</v>
      </c>
      <c r="H175" s="6">
        <v>1800000</v>
      </c>
      <c r="I175" s="6">
        <v>119751.63</v>
      </c>
      <c r="J175" s="6">
        <v>722235.33</v>
      </c>
      <c r="K175" t="s">
        <v>71</v>
      </c>
      <c r="L175" t="s">
        <v>53</v>
      </c>
      <c r="M175" t="s">
        <v>67</v>
      </c>
    </row>
    <row r="176" spans="1:13">
      <c r="A176" s="4" t="s">
        <v>297</v>
      </c>
      <c r="B176" t="s">
        <v>156</v>
      </c>
      <c r="C176" s="2">
        <v>45693</v>
      </c>
      <c r="D176" s="4" t="s">
        <v>70</v>
      </c>
      <c r="E176" s="4" t="s">
        <v>16</v>
      </c>
      <c r="F176" s="6">
        <v>9</v>
      </c>
      <c r="G176" s="6">
        <v>15000</v>
      </c>
      <c r="H176" s="6">
        <v>135000</v>
      </c>
      <c r="I176" s="6">
        <v>8711.91</v>
      </c>
      <c r="J176" s="6">
        <v>56592.81</v>
      </c>
      <c r="K176" t="s">
        <v>80</v>
      </c>
      <c r="L176" t="s">
        <v>53</v>
      </c>
      <c r="M176" t="s">
        <v>25</v>
      </c>
    </row>
    <row r="177" spans="1:13">
      <c r="A177" s="4" t="s">
        <v>298</v>
      </c>
      <c r="B177" t="s">
        <v>299</v>
      </c>
      <c r="C177" s="2">
        <v>45813</v>
      </c>
      <c r="D177" s="4" t="s">
        <v>52</v>
      </c>
      <c r="E177" s="4" t="s">
        <v>23</v>
      </c>
      <c r="F177" s="6">
        <v>12</v>
      </c>
      <c r="G177" s="6">
        <v>85000</v>
      </c>
      <c r="H177" s="6">
        <v>1020000</v>
      </c>
      <c r="I177" s="6">
        <v>61607.37</v>
      </c>
      <c r="J177" s="6">
        <v>280711.56</v>
      </c>
      <c r="K177" t="s">
        <v>24</v>
      </c>
      <c r="L177" t="s">
        <v>53</v>
      </c>
      <c r="M177" t="s">
        <v>67</v>
      </c>
    </row>
    <row r="178" spans="1:13">
      <c r="A178" s="4" t="s">
        <v>300</v>
      </c>
      <c r="B178" t="s">
        <v>36</v>
      </c>
      <c r="C178" s="2">
        <v>45902</v>
      </c>
      <c r="D178" s="4" t="s">
        <v>48</v>
      </c>
      <c r="E178" s="4" t="s">
        <v>49</v>
      </c>
      <c r="F178" s="6">
        <v>1</v>
      </c>
      <c r="G178" s="6">
        <v>140000</v>
      </c>
      <c r="H178" s="6">
        <v>140000</v>
      </c>
      <c r="I178" s="6">
        <v>112041.31</v>
      </c>
      <c r="J178" s="6">
        <v>27958.69</v>
      </c>
      <c r="K178" t="s">
        <v>71</v>
      </c>
      <c r="L178" t="s">
        <v>29</v>
      </c>
      <c r="M178" t="s">
        <v>38</v>
      </c>
    </row>
    <row r="179" spans="1:13">
      <c r="A179" s="4" t="s">
        <v>301</v>
      </c>
      <c r="B179" t="s">
        <v>302</v>
      </c>
      <c r="C179" s="2">
        <v>45778</v>
      </c>
      <c r="D179" s="4" t="s">
        <v>28</v>
      </c>
      <c r="E179" s="4" t="s">
        <v>23</v>
      </c>
      <c r="F179" s="6">
        <v>11</v>
      </c>
      <c r="G179" s="6">
        <v>220000</v>
      </c>
      <c r="H179" s="6">
        <v>2420000</v>
      </c>
      <c r="I179" s="6">
        <v>146721.54999999999</v>
      </c>
      <c r="J179" s="6">
        <v>806062.95</v>
      </c>
      <c r="K179" t="s">
        <v>17</v>
      </c>
      <c r="L179" t="s">
        <v>18</v>
      </c>
      <c r="M179" t="s">
        <v>50</v>
      </c>
    </row>
    <row r="180" spans="1:13">
      <c r="A180" s="4" t="s">
        <v>303</v>
      </c>
      <c r="B180" t="s">
        <v>60</v>
      </c>
      <c r="C180" s="2">
        <v>45812</v>
      </c>
      <c r="D180" s="4" t="s">
        <v>52</v>
      </c>
      <c r="E180" s="4" t="s">
        <v>23</v>
      </c>
      <c r="F180" s="6">
        <v>5</v>
      </c>
      <c r="G180" s="6">
        <v>85000</v>
      </c>
      <c r="H180" s="6">
        <v>425000</v>
      </c>
      <c r="I180" s="6">
        <v>63538.54</v>
      </c>
      <c r="J180" s="6">
        <v>107307.3</v>
      </c>
      <c r="K180" t="s">
        <v>17</v>
      </c>
      <c r="L180" t="s">
        <v>18</v>
      </c>
      <c r="M180" t="s">
        <v>25</v>
      </c>
    </row>
    <row r="181" spans="1:13">
      <c r="A181" s="4" t="s">
        <v>304</v>
      </c>
      <c r="B181" t="s">
        <v>245</v>
      </c>
      <c r="C181" s="2">
        <v>45990</v>
      </c>
      <c r="D181" s="4" t="s">
        <v>66</v>
      </c>
      <c r="E181" s="4" t="s">
        <v>49</v>
      </c>
      <c r="F181" s="6">
        <v>3</v>
      </c>
      <c r="G181" s="6">
        <v>175000</v>
      </c>
      <c r="H181" s="6">
        <v>525000</v>
      </c>
      <c r="I181" s="6">
        <v>111654.77</v>
      </c>
      <c r="J181" s="6">
        <v>190035.69</v>
      </c>
      <c r="K181" t="s">
        <v>33</v>
      </c>
      <c r="L181" t="s">
        <v>53</v>
      </c>
      <c r="M181" t="s">
        <v>67</v>
      </c>
    </row>
    <row r="182" spans="1:13">
      <c r="A182" s="4" t="s">
        <v>305</v>
      </c>
      <c r="B182" t="s">
        <v>42</v>
      </c>
      <c r="C182" s="2">
        <v>46004</v>
      </c>
      <c r="D182" s="4" t="s">
        <v>106</v>
      </c>
      <c r="E182" s="4" t="s">
        <v>23</v>
      </c>
      <c r="F182" s="6">
        <v>9</v>
      </c>
      <c r="G182" s="6">
        <v>200000</v>
      </c>
      <c r="H182" s="6">
        <v>1800000</v>
      </c>
      <c r="I182" s="6">
        <v>135063.32</v>
      </c>
      <c r="J182" s="6">
        <v>584430.12</v>
      </c>
      <c r="K182" t="s">
        <v>17</v>
      </c>
      <c r="L182" t="s">
        <v>18</v>
      </c>
      <c r="M182" t="s">
        <v>38</v>
      </c>
    </row>
    <row r="183" spans="1:13">
      <c r="A183" s="4" t="s">
        <v>306</v>
      </c>
      <c r="B183" t="s">
        <v>234</v>
      </c>
      <c r="C183" s="2">
        <v>45775</v>
      </c>
      <c r="D183" s="4" t="s">
        <v>63</v>
      </c>
      <c r="E183" s="4" t="s">
        <v>16</v>
      </c>
      <c r="F183" s="6">
        <v>10</v>
      </c>
      <c r="G183" s="6">
        <v>3000</v>
      </c>
      <c r="H183" s="6">
        <v>30000</v>
      </c>
      <c r="I183" s="6">
        <v>2074.98</v>
      </c>
      <c r="J183" s="6">
        <v>9250.2000000000007</v>
      </c>
      <c r="K183" t="s">
        <v>24</v>
      </c>
      <c r="L183" t="s">
        <v>29</v>
      </c>
      <c r="M183" t="s">
        <v>30</v>
      </c>
    </row>
    <row r="184" spans="1:13">
      <c r="A184" s="4" t="s">
        <v>307</v>
      </c>
      <c r="B184" t="s">
        <v>308</v>
      </c>
      <c r="C184" s="2">
        <v>45856</v>
      </c>
      <c r="D184" s="4" t="s">
        <v>28</v>
      </c>
      <c r="E184" s="4" t="s">
        <v>23</v>
      </c>
      <c r="F184" s="6">
        <v>11</v>
      </c>
      <c r="G184" s="6">
        <v>220000</v>
      </c>
      <c r="H184" s="6">
        <v>2420000</v>
      </c>
      <c r="I184" s="6">
        <v>162605.43</v>
      </c>
      <c r="J184" s="6">
        <v>631340.27</v>
      </c>
      <c r="K184" t="s">
        <v>24</v>
      </c>
      <c r="L184" t="s">
        <v>53</v>
      </c>
      <c r="M184" t="s">
        <v>67</v>
      </c>
    </row>
    <row r="185" spans="1:13">
      <c r="A185" s="4" t="s">
        <v>309</v>
      </c>
      <c r="B185" t="s">
        <v>278</v>
      </c>
      <c r="C185" s="2">
        <v>45816</v>
      </c>
      <c r="D185" s="4" t="s">
        <v>37</v>
      </c>
      <c r="E185" s="4" t="s">
        <v>16</v>
      </c>
      <c r="F185" s="6">
        <v>8</v>
      </c>
      <c r="G185" s="6">
        <v>18000</v>
      </c>
      <c r="H185" s="6">
        <v>144000</v>
      </c>
      <c r="I185" s="6">
        <v>12858.44</v>
      </c>
      <c r="J185" s="6">
        <v>41132.480000000003</v>
      </c>
      <c r="K185" t="s">
        <v>80</v>
      </c>
      <c r="L185" t="s">
        <v>18</v>
      </c>
      <c r="M185" t="s">
        <v>67</v>
      </c>
    </row>
    <row r="186" spans="1:13">
      <c r="A186" s="4" t="s">
        <v>310</v>
      </c>
      <c r="B186" t="s">
        <v>141</v>
      </c>
      <c r="C186" s="2">
        <v>45931</v>
      </c>
      <c r="D186" s="4" t="s">
        <v>106</v>
      </c>
      <c r="E186" s="4" t="s">
        <v>23</v>
      </c>
      <c r="F186" s="6">
        <v>10</v>
      </c>
      <c r="G186" s="6">
        <v>120000</v>
      </c>
      <c r="H186" s="6">
        <v>1200000</v>
      </c>
      <c r="I186" s="6">
        <v>86705.01</v>
      </c>
      <c r="J186" s="6">
        <v>332949.90000000002</v>
      </c>
      <c r="K186" t="s">
        <v>17</v>
      </c>
      <c r="L186" t="s">
        <v>18</v>
      </c>
      <c r="M186" t="s">
        <v>34</v>
      </c>
    </row>
    <row r="187" spans="1:13">
      <c r="A187" s="4" t="s">
        <v>311</v>
      </c>
      <c r="B187" t="s">
        <v>44</v>
      </c>
      <c r="C187" s="2">
        <v>45996</v>
      </c>
      <c r="D187" s="4" t="s">
        <v>56</v>
      </c>
      <c r="E187" s="4" t="s">
        <v>23</v>
      </c>
      <c r="F187" s="6">
        <v>8</v>
      </c>
      <c r="G187" s="6">
        <v>30000</v>
      </c>
      <c r="H187" s="6">
        <v>240000</v>
      </c>
      <c r="I187" s="6">
        <v>23060.48</v>
      </c>
      <c r="J187" s="6">
        <v>55516.160000000003</v>
      </c>
      <c r="K187" t="s">
        <v>17</v>
      </c>
      <c r="L187" t="s">
        <v>53</v>
      </c>
      <c r="M187" t="s">
        <v>30</v>
      </c>
    </row>
    <row r="188" spans="1:13">
      <c r="A188" s="4" t="s">
        <v>312</v>
      </c>
      <c r="B188" t="s">
        <v>141</v>
      </c>
      <c r="C188" s="2">
        <v>45803</v>
      </c>
      <c r="D188" s="4" t="s">
        <v>45</v>
      </c>
      <c r="E188" s="4" t="s">
        <v>23</v>
      </c>
      <c r="F188" s="6">
        <v>4</v>
      </c>
      <c r="G188" s="6">
        <v>650000</v>
      </c>
      <c r="H188" s="6">
        <v>2600000</v>
      </c>
      <c r="I188" s="6">
        <v>473402.51</v>
      </c>
      <c r="J188" s="6">
        <v>706389.96</v>
      </c>
      <c r="K188" t="s">
        <v>80</v>
      </c>
      <c r="L188" t="s">
        <v>18</v>
      </c>
      <c r="M188" t="s">
        <v>67</v>
      </c>
    </row>
    <row r="189" spans="1:13">
      <c r="A189" s="4" t="s">
        <v>313</v>
      </c>
      <c r="B189" t="s">
        <v>159</v>
      </c>
      <c r="C189" s="2">
        <v>45988</v>
      </c>
      <c r="D189" s="4" t="s">
        <v>56</v>
      </c>
      <c r="E189" s="4" t="s">
        <v>23</v>
      </c>
      <c r="F189" s="6">
        <v>1</v>
      </c>
      <c r="G189" s="6">
        <v>45000</v>
      </c>
      <c r="H189" s="6">
        <v>45000</v>
      </c>
      <c r="I189" s="6">
        <v>28141.86</v>
      </c>
      <c r="J189" s="6">
        <v>16858.14</v>
      </c>
      <c r="K189" t="s">
        <v>71</v>
      </c>
      <c r="L189" t="s">
        <v>18</v>
      </c>
      <c r="M189" t="s">
        <v>38</v>
      </c>
    </row>
    <row r="190" spans="1:13">
      <c r="A190" s="4" t="s">
        <v>314</v>
      </c>
      <c r="B190" t="s">
        <v>215</v>
      </c>
      <c r="C190" s="2">
        <v>46020</v>
      </c>
      <c r="D190" s="4" t="s">
        <v>66</v>
      </c>
      <c r="E190" s="4" t="s">
        <v>49</v>
      </c>
      <c r="F190" s="6">
        <v>3</v>
      </c>
      <c r="G190" s="6">
        <v>120000</v>
      </c>
      <c r="H190" s="6">
        <v>360000</v>
      </c>
      <c r="I190" s="6">
        <v>74672.740000000005</v>
      </c>
      <c r="J190" s="6">
        <v>135981.78</v>
      </c>
      <c r="K190" t="s">
        <v>24</v>
      </c>
      <c r="L190" t="s">
        <v>18</v>
      </c>
      <c r="M190" t="s">
        <v>34</v>
      </c>
    </row>
    <row r="191" spans="1:13">
      <c r="A191" s="4" t="s">
        <v>315</v>
      </c>
      <c r="B191" t="s">
        <v>316</v>
      </c>
      <c r="C191" s="2">
        <v>45760</v>
      </c>
      <c r="D191" s="4" t="s">
        <v>63</v>
      </c>
      <c r="E191" s="4" t="s">
        <v>16</v>
      </c>
      <c r="F191" s="6">
        <v>10</v>
      </c>
      <c r="G191" s="6">
        <v>5000</v>
      </c>
      <c r="H191" s="6">
        <v>50000</v>
      </c>
      <c r="I191" s="6">
        <v>3047.31</v>
      </c>
      <c r="J191" s="6">
        <v>19526.900000000001</v>
      </c>
      <c r="K191" t="s">
        <v>80</v>
      </c>
      <c r="L191" t="s">
        <v>29</v>
      </c>
      <c r="M191" t="s">
        <v>34</v>
      </c>
    </row>
    <row r="192" spans="1:13">
      <c r="A192" s="4" t="s">
        <v>317</v>
      </c>
      <c r="B192" t="s">
        <v>294</v>
      </c>
      <c r="C192" s="2">
        <v>45963</v>
      </c>
      <c r="D192" s="4" t="s">
        <v>70</v>
      </c>
      <c r="E192" s="4" t="s">
        <v>16</v>
      </c>
      <c r="F192" s="6">
        <v>3</v>
      </c>
      <c r="G192" s="6">
        <v>35000</v>
      </c>
      <c r="H192" s="6">
        <v>105000</v>
      </c>
      <c r="I192" s="6">
        <v>23523.16</v>
      </c>
      <c r="J192" s="6">
        <v>34430.519999999997</v>
      </c>
      <c r="K192" t="s">
        <v>80</v>
      </c>
      <c r="L192" t="s">
        <v>18</v>
      </c>
      <c r="M192" t="s">
        <v>25</v>
      </c>
    </row>
    <row r="193" spans="1:13">
      <c r="A193" s="4" t="s">
        <v>318</v>
      </c>
      <c r="B193" t="s">
        <v>302</v>
      </c>
      <c r="C193" s="2">
        <v>45697</v>
      </c>
      <c r="D193" s="4" t="s">
        <v>70</v>
      </c>
      <c r="E193" s="4" t="s">
        <v>16</v>
      </c>
      <c r="F193" s="6">
        <v>5</v>
      </c>
      <c r="G193" s="6">
        <v>15000</v>
      </c>
      <c r="H193" s="6">
        <v>75000</v>
      </c>
      <c r="I193" s="6">
        <v>10730.25</v>
      </c>
      <c r="J193" s="6">
        <v>21348.75</v>
      </c>
      <c r="K193" t="s">
        <v>80</v>
      </c>
      <c r="L193" t="s">
        <v>18</v>
      </c>
      <c r="M193" t="s">
        <v>25</v>
      </c>
    </row>
    <row r="194" spans="1:13">
      <c r="A194" s="4" t="s">
        <v>319</v>
      </c>
      <c r="B194" t="s">
        <v>211</v>
      </c>
      <c r="C194" s="2">
        <v>45750</v>
      </c>
      <c r="D194" s="4" t="s">
        <v>56</v>
      </c>
      <c r="E194" s="4" t="s">
        <v>23</v>
      </c>
      <c r="F194" s="6">
        <v>6</v>
      </c>
      <c r="G194" s="6">
        <v>70000</v>
      </c>
      <c r="H194" s="6">
        <v>420000</v>
      </c>
      <c r="I194" s="6">
        <v>40777.71</v>
      </c>
      <c r="J194" s="6">
        <v>175333.74</v>
      </c>
      <c r="K194" t="s">
        <v>17</v>
      </c>
      <c r="L194" t="s">
        <v>53</v>
      </c>
      <c r="M194" t="s">
        <v>30</v>
      </c>
    </row>
    <row r="195" spans="1:13">
      <c r="A195" s="4" t="s">
        <v>320</v>
      </c>
      <c r="B195" t="s">
        <v>321</v>
      </c>
      <c r="C195" s="2">
        <v>45854</v>
      </c>
      <c r="D195" s="4" t="s">
        <v>28</v>
      </c>
      <c r="E195" s="4" t="s">
        <v>23</v>
      </c>
      <c r="F195" s="6">
        <v>9</v>
      </c>
      <c r="G195" s="6">
        <v>300000</v>
      </c>
      <c r="H195" s="6">
        <v>2700000</v>
      </c>
      <c r="I195" s="6">
        <v>196040.29</v>
      </c>
      <c r="J195" s="6">
        <v>935637.39</v>
      </c>
      <c r="K195" t="s">
        <v>17</v>
      </c>
      <c r="L195" t="s">
        <v>29</v>
      </c>
      <c r="M195" t="s">
        <v>19</v>
      </c>
    </row>
    <row r="196" spans="1:13">
      <c r="A196" s="4" t="s">
        <v>322</v>
      </c>
      <c r="B196" t="s">
        <v>224</v>
      </c>
      <c r="C196" s="2">
        <v>45931</v>
      </c>
      <c r="D196" s="4" t="s">
        <v>28</v>
      </c>
      <c r="E196" s="4" t="s">
        <v>23</v>
      </c>
      <c r="F196" s="6">
        <v>7</v>
      </c>
      <c r="G196" s="6">
        <v>180000</v>
      </c>
      <c r="H196" s="6">
        <v>1260000</v>
      </c>
      <c r="I196" s="6">
        <v>124910.39</v>
      </c>
      <c r="J196" s="6">
        <v>385627.27</v>
      </c>
      <c r="K196" t="s">
        <v>33</v>
      </c>
      <c r="L196" t="s">
        <v>29</v>
      </c>
      <c r="M196" t="s">
        <v>38</v>
      </c>
    </row>
    <row r="197" spans="1:13">
      <c r="A197" s="4" t="s">
        <v>323</v>
      </c>
      <c r="B197" t="s">
        <v>266</v>
      </c>
      <c r="C197" s="2">
        <v>46016</v>
      </c>
      <c r="D197" s="4" t="s">
        <v>66</v>
      </c>
      <c r="E197" s="4" t="s">
        <v>49</v>
      </c>
      <c r="F197" s="6">
        <v>3</v>
      </c>
      <c r="G197" s="6">
        <v>90000</v>
      </c>
      <c r="H197" s="6">
        <v>270000</v>
      </c>
      <c r="I197" s="6">
        <v>56832.3</v>
      </c>
      <c r="J197" s="6">
        <v>99503.1</v>
      </c>
      <c r="K197" t="s">
        <v>24</v>
      </c>
      <c r="L197" t="s">
        <v>18</v>
      </c>
      <c r="M197" t="s">
        <v>25</v>
      </c>
    </row>
    <row r="198" spans="1:13">
      <c r="A198" s="4" t="s">
        <v>324</v>
      </c>
      <c r="B198" t="s">
        <v>325</v>
      </c>
      <c r="C198" s="2">
        <v>45902</v>
      </c>
      <c r="D198" s="4" t="s">
        <v>15</v>
      </c>
      <c r="E198" s="4" t="s">
        <v>16</v>
      </c>
      <c r="F198" s="6">
        <v>2</v>
      </c>
      <c r="G198" s="6">
        <v>8000</v>
      </c>
      <c r="H198" s="6">
        <v>16000</v>
      </c>
      <c r="I198" s="6">
        <v>5375.49</v>
      </c>
      <c r="J198" s="6">
        <v>5249.02</v>
      </c>
      <c r="K198" t="s">
        <v>17</v>
      </c>
      <c r="L198" t="s">
        <v>53</v>
      </c>
      <c r="M198" t="s">
        <v>19</v>
      </c>
    </row>
    <row r="199" spans="1:13">
      <c r="A199" s="4" t="s">
        <v>326</v>
      </c>
      <c r="B199" t="s">
        <v>94</v>
      </c>
      <c r="C199" s="2">
        <v>45848</v>
      </c>
      <c r="D199" s="4" t="s">
        <v>70</v>
      </c>
      <c r="E199" s="4" t="s">
        <v>16</v>
      </c>
      <c r="F199" s="6">
        <v>11</v>
      </c>
      <c r="G199" s="6">
        <v>35000</v>
      </c>
      <c r="H199" s="6">
        <v>385000</v>
      </c>
      <c r="I199" s="6">
        <v>28175.63</v>
      </c>
      <c r="J199" s="6">
        <v>75068.070000000007</v>
      </c>
      <c r="K199" t="s">
        <v>33</v>
      </c>
      <c r="L199" t="s">
        <v>18</v>
      </c>
      <c r="M199" t="s">
        <v>19</v>
      </c>
    </row>
    <row r="200" spans="1:13">
      <c r="A200" s="4" t="s">
        <v>327</v>
      </c>
      <c r="B200" t="s">
        <v>21</v>
      </c>
      <c r="C200" s="2">
        <v>45916</v>
      </c>
      <c r="D200" s="4" t="s">
        <v>106</v>
      </c>
      <c r="E200" s="4" t="s">
        <v>23</v>
      </c>
      <c r="F200" s="6">
        <v>5</v>
      </c>
      <c r="G200" s="6">
        <f>Cleaned_Data4[[#This Row],[Sales_Amount]]/Cleaned_Data4[[#This Row],[Quantity]]</f>
        <v>150000</v>
      </c>
      <c r="H200" s="6">
        <v>750000</v>
      </c>
      <c r="I200" s="6">
        <v>110884.44</v>
      </c>
      <c r="J200" s="6">
        <v>195577.8</v>
      </c>
      <c r="K200" t="s">
        <v>71</v>
      </c>
      <c r="L200" t="s">
        <v>29</v>
      </c>
      <c r="M200" t="s">
        <v>30</v>
      </c>
    </row>
    <row r="201" spans="1:13">
      <c r="A201" s="4" t="s">
        <v>328</v>
      </c>
      <c r="B201" t="s">
        <v>215</v>
      </c>
      <c r="C201" s="2">
        <v>45676</v>
      </c>
      <c r="D201" s="4" t="s">
        <v>37</v>
      </c>
      <c r="E201" s="4" t="s">
        <v>16</v>
      </c>
      <c r="F201" s="6">
        <v>8</v>
      </c>
      <c r="G201" s="6">
        <v>18000</v>
      </c>
      <c r="H201" s="6">
        <v>144000</v>
      </c>
      <c r="I201" s="6">
        <v>13523.09</v>
      </c>
      <c r="J201" s="6">
        <v>35815.279999999999</v>
      </c>
      <c r="K201" t="s">
        <v>17</v>
      </c>
      <c r="L201" t="s">
        <v>53</v>
      </c>
      <c r="M201" t="s">
        <v>19</v>
      </c>
    </row>
    <row r="202" spans="1:13">
      <c r="A202" s="4" t="s">
        <v>329</v>
      </c>
      <c r="B202" t="s">
        <v>200</v>
      </c>
      <c r="C202" s="2">
        <v>45849</v>
      </c>
      <c r="D202" s="4" t="s">
        <v>28</v>
      </c>
      <c r="E202" s="4" t="s">
        <v>23</v>
      </c>
      <c r="F202" s="6">
        <v>9</v>
      </c>
      <c r="G202" s="6">
        <v>300000</v>
      </c>
      <c r="H202" s="6">
        <v>2700000</v>
      </c>
      <c r="I202" s="6">
        <v>215418.99</v>
      </c>
      <c r="J202" s="6">
        <v>761229.09</v>
      </c>
      <c r="K202" t="s">
        <v>71</v>
      </c>
      <c r="L202" t="s">
        <v>18</v>
      </c>
      <c r="M202" t="s">
        <v>67</v>
      </c>
    </row>
    <row r="203" spans="1:13">
      <c r="A203" s="4" t="s">
        <v>330</v>
      </c>
      <c r="B203" t="s">
        <v>331</v>
      </c>
      <c r="C203" s="2">
        <v>45724</v>
      </c>
      <c r="D203" s="4" t="s">
        <v>70</v>
      </c>
      <c r="E203" s="4" t="s">
        <v>16</v>
      </c>
      <c r="F203" s="6">
        <v>8</v>
      </c>
      <c r="G203" s="6">
        <v>15000</v>
      </c>
      <c r="H203" s="6">
        <v>120000</v>
      </c>
      <c r="I203" s="6">
        <v>10306.19</v>
      </c>
      <c r="J203" s="6">
        <v>37550.480000000003</v>
      </c>
      <c r="K203" t="s">
        <v>33</v>
      </c>
      <c r="L203" t="s">
        <v>29</v>
      </c>
      <c r="M203" t="s">
        <v>25</v>
      </c>
    </row>
    <row r="204" spans="1:13">
      <c r="A204" s="4" t="s">
        <v>332</v>
      </c>
      <c r="B204" t="s">
        <v>75</v>
      </c>
      <c r="C204" s="2">
        <v>45975</v>
      </c>
      <c r="D204" s="4" t="s">
        <v>22</v>
      </c>
      <c r="E204" s="4" t="s">
        <v>23</v>
      </c>
      <c r="F204" s="6">
        <f>Cleaned_Data4[[#This Row],[Sales_Amount]]/Cleaned_Data4[[#This Row],[Unit_Price]]</f>
        <v>2</v>
      </c>
      <c r="G204" s="6">
        <v>210000</v>
      </c>
      <c r="H204" s="6">
        <v>420000</v>
      </c>
      <c r="I204" s="6">
        <v>166627.07</v>
      </c>
      <c r="J204" s="6">
        <v>86745.86</v>
      </c>
      <c r="K204" t="s">
        <v>17</v>
      </c>
      <c r="L204" t="s">
        <v>18</v>
      </c>
      <c r="M204" t="s">
        <v>30</v>
      </c>
    </row>
    <row r="205" spans="1:13">
      <c r="A205" s="4" t="s">
        <v>333</v>
      </c>
      <c r="B205" t="s">
        <v>292</v>
      </c>
      <c r="C205" s="2">
        <v>45990</v>
      </c>
      <c r="D205" s="4" t="s">
        <v>28</v>
      </c>
      <c r="E205" s="4" t="s">
        <v>23</v>
      </c>
      <c r="F205" s="6">
        <v>11</v>
      </c>
      <c r="G205" s="6">
        <v>180000</v>
      </c>
      <c r="H205" s="6">
        <v>1980000</v>
      </c>
      <c r="I205" s="6">
        <v>127669.65</v>
      </c>
      <c r="J205" s="6">
        <v>575633.85</v>
      </c>
      <c r="K205" t="s">
        <v>80</v>
      </c>
      <c r="L205" t="s">
        <v>18</v>
      </c>
      <c r="M205" t="s">
        <v>67</v>
      </c>
    </row>
    <row r="206" spans="1:13">
      <c r="A206" s="4" t="s">
        <v>334</v>
      </c>
      <c r="B206" t="s">
        <v>335</v>
      </c>
      <c r="C206" s="2">
        <v>45837</v>
      </c>
      <c r="D206" s="4" t="s">
        <v>63</v>
      </c>
      <c r="E206" s="4" t="s">
        <v>16</v>
      </c>
      <c r="F206" s="6">
        <v>9</v>
      </c>
      <c r="G206" s="6">
        <v>7000</v>
      </c>
      <c r="H206" s="6">
        <v>63000</v>
      </c>
      <c r="I206" s="6">
        <v>4416.7299999999996</v>
      </c>
      <c r="J206" s="6">
        <v>23249.43</v>
      </c>
      <c r="K206" t="s">
        <v>71</v>
      </c>
      <c r="L206" t="s">
        <v>18</v>
      </c>
      <c r="M206" t="s">
        <v>19</v>
      </c>
    </row>
    <row r="207" spans="1:13">
      <c r="A207" s="4" t="s">
        <v>336</v>
      </c>
      <c r="B207" t="s">
        <v>200</v>
      </c>
      <c r="C207" s="2">
        <v>45820</v>
      </c>
      <c r="D207" s="4" t="s">
        <v>28</v>
      </c>
      <c r="E207" s="4" t="s">
        <v>23</v>
      </c>
      <c r="F207" s="6">
        <f>Cleaned_Data4[[#This Row],[Sales_Amount]]/Cleaned_Data4[[#This Row],[Unit_Price]]</f>
        <v>12</v>
      </c>
      <c r="G207" s="6">
        <v>300000</v>
      </c>
      <c r="H207" s="6">
        <v>3600000</v>
      </c>
      <c r="I207" s="6">
        <v>205170.94</v>
      </c>
      <c r="J207" s="6">
        <v>1137948.72</v>
      </c>
      <c r="K207" t="s">
        <v>17</v>
      </c>
      <c r="L207" t="s">
        <v>29</v>
      </c>
      <c r="M207" t="s">
        <v>67</v>
      </c>
    </row>
    <row r="208" spans="1:13">
      <c r="A208" s="4" t="s">
        <v>337</v>
      </c>
      <c r="B208" t="s">
        <v>174</v>
      </c>
      <c r="C208" s="2">
        <v>45919</v>
      </c>
      <c r="D208" s="4" t="s">
        <v>70</v>
      </c>
      <c r="E208" s="4" t="s">
        <v>16</v>
      </c>
      <c r="F208" s="6">
        <v>10</v>
      </c>
      <c r="G208" s="6">
        <v>15000</v>
      </c>
      <c r="H208" s="6">
        <v>150000</v>
      </c>
      <c r="I208" s="6">
        <v>10063.24</v>
      </c>
      <c r="J208" s="6">
        <v>49367.6</v>
      </c>
      <c r="K208" t="s">
        <v>17</v>
      </c>
      <c r="L208" t="s">
        <v>53</v>
      </c>
      <c r="M208" t="s">
        <v>19</v>
      </c>
    </row>
    <row r="209" spans="1:13">
      <c r="A209" s="4" t="s">
        <v>338</v>
      </c>
      <c r="B209" t="s">
        <v>149</v>
      </c>
      <c r="C209" s="2">
        <v>45777</v>
      </c>
      <c r="D209" s="4" t="s">
        <v>22</v>
      </c>
      <c r="E209" s="4" t="s">
        <v>23</v>
      </c>
      <c r="F209" s="6">
        <v>2</v>
      </c>
      <c r="G209" s="6">
        <v>150000</v>
      </c>
      <c r="H209" s="6">
        <v>300000</v>
      </c>
      <c r="I209" s="6">
        <v>113476.55</v>
      </c>
      <c r="J209" s="6">
        <v>73046.899999999994</v>
      </c>
      <c r="K209" t="s">
        <v>17</v>
      </c>
      <c r="L209" t="s">
        <v>29</v>
      </c>
      <c r="M209" t="s">
        <v>25</v>
      </c>
    </row>
    <row r="210" spans="1:13">
      <c r="A210" s="4" t="s">
        <v>339</v>
      </c>
      <c r="B210" t="s">
        <v>115</v>
      </c>
      <c r="C210" s="2">
        <v>45747</v>
      </c>
      <c r="D210" s="4" t="s">
        <v>106</v>
      </c>
      <c r="E210" s="4" t="s">
        <v>23</v>
      </c>
      <c r="F210" s="6">
        <v>8</v>
      </c>
      <c r="G210" s="6">
        <v>120000</v>
      </c>
      <c r="H210" s="6">
        <v>960000</v>
      </c>
      <c r="I210" s="6">
        <v>72199.41</v>
      </c>
      <c r="J210" s="6">
        <v>382404.72</v>
      </c>
      <c r="K210" t="s">
        <v>33</v>
      </c>
      <c r="L210" t="s">
        <v>53</v>
      </c>
      <c r="M210" t="s">
        <v>67</v>
      </c>
    </row>
    <row r="211" spans="1:13">
      <c r="A211" s="4" t="s">
        <v>340</v>
      </c>
      <c r="B211" t="s">
        <v>42</v>
      </c>
      <c r="C211" s="2">
        <v>45755</v>
      </c>
      <c r="D211" s="4" t="s">
        <v>52</v>
      </c>
      <c r="E211" s="4" t="s">
        <v>23</v>
      </c>
      <c r="F211" s="6">
        <v>5</v>
      </c>
      <c r="G211" s="6">
        <v>85000</v>
      </c>
      <c r="H211" s="6">
        <v>425000</v>
      </c>
      <c r="I211" s="6">
        <v>57258.14</v>
      </c>
      <c r="J211" s="6">
        <v>138709.29999999999</v>
      </c>
      <c r="K211" t="s">
        <v>24</v>
      </c>
      <c r="L211" t="s">
        <v>29</v>
      </c>
      <c r="M211" t="s">
        <v>67</v>
      </c>
    </row>
    <row r="212" spans="1:13">
      <c r="A212" s="4" t="s">
        <v>341</v>
      </c>
      <c r="B212" t="s">
        <v>156</v>
      </c>
      <c r="C212" s="2">
        <v>45660</v>
      </c>
      <c r="D212" s="4" t="s">
        <v>52</v>
      </c>
      <c r="E212" s="4" t="s">
        <v>23</v>
      </c>
      <c r="F212" s="6">
        <v>11</v>
      </c>
      <c r="G212" s="6">
        <v>85000</v>
      </c>
      <c r="H212" s="6">
        <v>935000</v>
      </c>
      <c r="I212" s="6">
        <v>54375.99</v>
      </c>
      <c r="J212" s="6">
        <v>336864.11</v>
      </c>
      <c r="K212" t="s">
        <v>24</v>
      </c>
      <c r="L212" t="s">
        <v>29</v>
      </c>
      <c r="M212" t="s">
        <v>50</v>
      </c>
    </row>
    <row r="213" spans="1:13">
      <c r="A213" s="4" t="s">
        <v>342</v>
      </c>
      <c r="B213" t="s">
        <v>343</v>
      </c>
      <c r="C213" s="2">
        <v>46020</v>
      </c>
      <c r="D213" s="4" t="s">
        <v>28</v>
      </c>
      <c r="E213" s="4" t="s">
        <v>23</v>
      </c>
      <c r="F213" s="6">
        <v>2</v>
      </c>
      <c r="G213" s="6">
        <v>180000</v>
      </c>
      <c r="H213" s="6">
        <v>360000</v>
      </c>
      <c r="I213" s="6">
        <v>141398.24</v>
      </c>
      <c r="J213" s="6">
        <v>77203.520000000004</v>
      </c>
      <c r="K213" t="s">
        <v>80</v>
      </c>
      <c r="L213" t="s">
        <v>18</v>
      </c>
      <c r="M213" t="s">
        <v>34</v>
      </c>
    </row>
    <row r="214" spans="1:13">
      <c r="A214" s="4" t="s">
        <v>344</v>
      </c>
      <c r="B214" t="s">
        <v>109</v>
      </c>
      <c r="C214" s="2">
        <v>45859</v>
      </c>
      <c r="D214" s="4" t="s">
        <v>48</v>
      </c>
      <c r="E214" s="4" t="s">
        <v>49</v>
      </c>
      <c r="F214" s="6">
        <v>8</v>
      </c>
      <c r="G214" s="6">
        <v>200000</v>
      </c>
      <c r="H214" s="6">
        <v>1600000</v>
      </c>
      <c r="I214" s="6">
        <v>155421.98000000001</v>
      </c>
      <c r="J214" s="6">
        <v>356624.16</v>
      </c>
      <c r="K214" t="s">
        <v>80</v>
      </c>
      <c r="L214" t="s">
        <v>53</v>
      </c>
      <c r="M214" t="s">
        <v>67</v>
      </c>
    </row>
    <row r="215" spans="1:13">
      <c r="A215" s="4" t="s">
        <v>345</v>
      </c>
      <c r="B215" t="s">
        <v>343</v>
      </c>
      <c r="C215" s="2">
        <v>45709</v>
      </c>
      <c r="D215" s="4" t="s">
        <v>52</v>
      </c>
      <c r="E215" s="4" t="s">
        <v>23</v>
      </c>
      <c r="F215" s="6">
        <v>4</v>
      </c>
      <c r="G215" s="6">
        <v>85000</v>
      </c>
      <c r="H215" s="6">
        <v>340000</v>
      </c>
      <c r="I215" s="6">
        <v>62591.64</v>
      </c>
      <c r="J215" s="6">
        <v>89633.44</v>
      </c>
      <c r="K215" t="s">
        <v>24</v>
      </c>
      <c r="L215" t="s">
        <v>18</v>
      </c>
      <c r="M215" t="s">
        <v>30</v>
      </c>
    </row>
    <row r="216" spans="1:13">
      <c r="A216" s="4" t="s">
        <v>346</v>
      </c>
      <c r="B216" t="s">
        <v>146</v>
      </c>
      <c r="C216" s="2">
        <v>45768</v>
      </c>
      <c r="D216" s="4" t="s">
        <v>106</v>
      </c>
      <c r="E216" s="4" t="s">
        <v>23</v>
      </c>
      <c r="F216" s="6">
        <v>3</v>
      </c>
      <c r="G216" s="6">
        <v>200000</v>
      </c>
      <c r="H216" s="6">
        <v>600000</v>
      </c>
      <c r="I216" s="6">
        <v>161130.85</v>
      </c>
      <c r="J216" s="6">
        <v>116607.45</v>
      </c>
      <c r="K216" t="s">
        <v>33</v>
      </c>
      <c r="L216" t="s">
        <v>29</v>
      </c>
      <c r="M216" t="s">
        <v>67</v>
      </c>
    </row>
    <row r="217" spans="1:13">
      <c r="A217" s="4" t="s">
        <v>347</v>
      </c>
      <c r="B217" t="s">
        <v>151</v>
      </c>
      <c r="C217" s="2">
        <v>45794</v>
      </c>
      <c r="D217" s="4" t="s">
        <v>28</v>
      </c>
      <c r="E217" s="4" t="s">
        <v>23</v>
      </c>
      <c r="F217" s="6">
        <v>7</v>
      </c>
      <c r="G217" s="6">
        <v>220000</v>
      </c>
      <c r="H217" s="6">
        <v>1540000</v>
      </c>
      <c r="I217" s="6">
        <v>163754.16</v>
      </c>
      <c r="J217" s="6">
        <v>393720.88</v>
      </c>
      <c r="K217" t="s">
        <v>17</v>
      </c>
      <c r="L217" t="s">
        <v>53</v>
      </c>
      <c r="M217" t="s">
        <v>38</v>
      </c>
    </row>
    <row r="218" spans="1:13">
      <c r="A218" s="4" t="s">
        <v>348</v>
      </c>
      <c r="B218" t="s">
        <v>151</v>
      </c>
      <c r="C218" s="2">
        <v>45973</v>
      </c>
      <c r="D218" s="4" t="s">
        <v>349</v>
      </c>
      <c r="E218" s="4" t="s">
        <v>23</v>
      </c>
      <c r="F218" s="6">
        <v>11</v>
      </c>
      <c r="G218" s="6">
        <v>65000</v>
      </c>
      <c r="H218" s="6">
        <v>715000</v>
      </c>
      <c r="I218" s="6">
        <v>45352.59</v>
      </c>
      <c r="J218" s="6">
        <v>216121.51</v>
      </c>
      <c r="K218" t="s">
        <v>33</v>
      </c>
      <c r="L218" t="s">
        <v>29</v>
      </c>
      <c r="M218" t="s">
        <v>67</v>
      </c>
    </row>
    <row r="219" spans="1:13">
      <c r="A219" s="4" t="s">
        <v>350</v>
      </c>
      <c r="B219" t="s">
        <v>351</v>
      </c>
      <c r="C219" s="2">
        <v>45954</v>
      </c>
      <c r="D219" s="4" t="s">
        <v>66</v>
      </c>
      <c r="E219" s="4" t="s">
        <v>49</v>
      </c>
      <c r="F219" s="6">
        <v>10</v>
      </c>
      <c r="G219" s="6">
        <v>175000</v>
      </c>
      <c r="H219" s="6">
        <v>1750000</v>
      </c>
      <c r="I219" s="6">
        <v>124780.79</v>
      </c>
      <c r="J219" s="6">
        <v>502192.1</v>
      </c>
      <c r="K219" t="s">
        <v>17</v>
      </c>
      <c r="L219" t="s">
        <v>29</v>
      </c>
      <c r="M219" t="s">
        <v>30</v>
      </c>
    </row>
    <row r="220" spans="1:13">
      <c r="A220" s="4" t="s">
        <v>352</v>
      </c>
      <c r="B220" t="s">
        <v>21</v>
      </c>
      <c r="C220" s="2">
        <v>45895</v>
      </c>
      <c r="D220" s="4" t="s">
        <v>66</v>
      </c>
      <c r="E220" s="4" t="s">
        <v>49</v>
      </c>
      <c r="F220" s="6">
        <v>4</v>
      </c>
      <c r="G220" s="6">
        <v>120000</v>
      </c>
      <c r="H220" s="6">
        <v>480000</v>
      </c>
      <c r="I220" s="6">
        <v>87071.82</v>
      </c>
      <c r="J220" s="6">
        <v>131712.72</v>
      </c>
      <c r="K220" t="s">
        <v>24</v>
      </c>
      <c r="L220" t="s">
        <v>18</v>
      </c>
      <c r="M220" t="s">
        <v>34</v>
      </c>
    </row>
    <row r="221" spans="1:13">
      <c r="A221" s="4" t="s">
        <v>353</v>
      </c>
      <c r="B221" t="s">
        <v>129</v>
      </c>
      <c r="C221" s="2">
        <v>45832</v>
      </c>
      <c r="D221" s="4" t="s">
        <v>106</v>
      </c>
      <c r="E221" s="4" t="s">
        <v>23</v>
      </c>
      <c r="F221" s="6">
        <v>3</v>
      </c>
      <c r="G221" s="6">
        <v>120000</v>
      </c>
      <c r="H221" s="6">
        <v>360000</v>
      </c>
      <c r="I221" s="6">
        <v>74930.52</v>
      </c>
      <c r="J221" s="6">
        <v>135208.44</v>
      </c>
      <c r="K221" t="s">
        <v>33</v>
      </c>
      <c r="L221" t="s">
        <v>29</v>
      </c>
      <c r="M221" t="s">
        <v>34</v>
      </c>
    </row>
    <row r="222" spans="1:13">
      <c r="A222" s="4" t="s">
        <v>354</v>
      </c>
      <c r="B222" t="s">
        <v>294</v>
      </c>
      <c r="C222" s="2" t="s">
        <v>355</v>
      </c>
      <c r="D222" s="4" t="s">
        <v>66</v>
      </c>
      <c r="E222" s="4" t="s">
        <v>49</v>
      </c>
      <c r="F222" s="6">
        <v>5</v>
      </c>
      <c r="G222" s="6">
        <v>90000</v>
      </c>
      <c r="H222" s="6">
        <v>450000</v>
      </c>
      <c r="I222" s="6">
        <v>55062.15</v>
      </c>
      <c r="J222" s="6">
        <v>174689.25</v>
      </c>
      <c r="K222" t="s">
        <v>80</v>
      </c>
      <c r="L222" t="s">
        <v>29</v>
      </c>
      <c r="M222" t="s">
        <v>25</v>
      </c>
    </row>
    <row r="223" spans="1:13">
      <c r="A223" s="4" t="s">
        <v>356</v>
      </c>
      <c r="B223" t="s">
        <v>224</v>
      </c>
      <c r="C223" s="2">
        <v>45947</v>
      </c>
      <c r="D223" s="4" t="s">
        <v>22</v>
      </c>
      <c r="E223" s="4" t="s">
        <v>23</v>
      </c>
      <c r="F223" s="6">
        <v>6</v>
      </c>
      <c r="G223" s="6">
        <v>280000</v>
      </c>
      <c r="H223" s="6">
        <v>1680000</v>
      </c>
      <c r="I223" s="6">
        <v>182535.24</v>
      </c>
      <c r="J223" s="6">
        <v>584788.56000000006</v>
      </c>
      <c r="K223" t="s">
        <v>71</v>
      </c>
      <c r="L223" t="s">
        <v>53</v>
      </c>
      <c r="M223" t="s">
        <v>30</v>
      </c>
    </row>
    <row r="224" spans="1:13">
      <c r="A224" s="4" t="s">
        <v>357</v>
      </c>
      <c r="B224" t="s">
        <v>109</v>
      </c>
      <c r="C224" s="2">
        <v>45940</v>
      </c>
      <c r="D224" s="4" t="s">
        <v>15</v>
      </c>
      <c r="E224" s="4" t="s">
        <v>16</v>
      </c>
      <c r="F224" s="6">
        <v>2</v>
      </c>
      <c r="G224" s="6">
        <v>8000</v>
      </c>
      <c r="H224" s="6">
        <v>16000</v>
      </c>
      <c r="I224" s="6">
        <v>4645.1400000000003</v>
      </c>
      <c r="J224" s="6">
        <f>J689</f>
        <v>78340.14</v>
      </c>
      <c r="K224" t="s">
        <v>33</v>
      </c>
      <c r="L224" t="s">
        <v>29</v>
      </c>
      <c r="M224" t="s">
        <v>19</v>
      </c>
    </row>
    <row r="225" spans="1:13">
      <c r="A225" s="4" t="s">
        <v>358</v>
      </c>
      <c r="B225" t="s">
        <v>359</v>
      </c>
      <c r="C225" s="2">
        <v>45677</v>
      </c>
      <c r="D225" s="4" t="s">
        <v>45</v>
      </c>
      <c r="E225" s="4" t="s">
        <v>23</v>
      </c>
      <c r="F225" s="6">
        <v>3</v>
      </c>
      <c r="G225" s="6">
        <v>650000</v>
      </c>
      <c r="H225" s="6">
        <v>1950000</v>
      </c>
      <c r="I225" s="6">
        <v>428954.35</v>
      </c>
      <c r="J225" s="6">
        <v>663136.94999999995</v>
      </c>
      <c r="K225" t="s">
        <v>33</v>
      </c>
      <c r="L225" t="s">
        <v>29</v>
      </c>
      <c r="M225" t="s">
        <v>50</v>
      </c>
    </row>
    <row r="226" spans="1:13">
      <c r="A226" s="4" t="s">
        <v>360</v>
      </c>
      <c r="B226" t="s">
        <v>36</v>
      </c>
      <c r="C226" s="2" t="s">
        <v>355</v>
      </c>
      <c r="D226" s="4" t="s">
        <v>28</v>
      </c>
      <c r="E226" s="4" t="s">
        <v>23</v>
      </c>
      <c r="F226" s="6">
        <v>11</v>
      </c>
      <c r="G226" s="6">
        <v>180000</v>
      </c>
      <c r="H226" s="6">
        <v>1980000</v>
      </c>
      <c r="I226" s="6">
        <v>115229.7</v>
      </c>
      <c r="J226" s="6">
        <v>712473.3</v>
      </c>
      <c r="K226" t="s">
        <v>33</v>
      </c>
      <c r="L226" t="s">
        <v>29</v>
      </c>
      <c r="M226" t="s">
        <v>19</v>
      </c>
    </row>
    <row r="227" spans="1:13">
      <c r="A227" s="4" t="s">
        <v>361</v>
      </c>
      <c r="B227" t="s">
        <v>161</v>
      </c>
      <c r="C227" s="2">
        <v>45770</v>
      </c>
      <c r="D227" s="4" t="s">
        <v>48</v>
      </c>
      <c r="E227" s="4" t="s">
        <v>49</v>
      </c>
      <c r="F227" s="6">
        <v>11</v>
      </c>
      <c r="G227" s="6">
        <v>140000</v>
      </c>
      <c r="H227" s="6">
        <v>1540000</v>
      </c>
      <c r="I227" s="6">
        <v>109519.82</v>
      </c>
      <c r="J227" s="6">
        <v>335281.98</v>
      </c>
      <c r="K227" t="s">
        <v>17</v>
      </c>
      <c r="L227" t="s">
        <v>53</v>
      </c>
      <c r="M227" t="s">
        <v>34</v>
      </c>
    </row>
    <row r="228" spans="1:13">
      <c r="A228" s="4" t="s">
        <v>362</v>
      </c>
      <c r="B228" t="s">
        <v>321</v>
      </c>
      <c r="C228" s="2">
        <v>45854</v>
      </c>
      <c r="D228" s="4" t="s">
        <v>37</v>
      </c>
      <c r="E228" s="4" t="s">
        <v>16</v>
      </c>
      <c r="F228" s="6">
        <v>12</v>
      </c>
      <c r="G228" s="6">
        <v>12000</v>
      </c>
      <c r="H228" s="6">
        <v>144000</v>
      </c>
      <c r="I228" s="6">
        <v>8994.49</v>
      </c>
      <c r="J228" s="6">
        <v>36066.120000000003</v>
      </c>
      <c r="K228" t="s">
        <v>80</v>
      </c>
      <c r="L228" t="s">
        <v>29</v>
      </c>
      <c r="M228" t="s">
        <v>19</v>
      </c>
    </row>
    <row r="229" spans="1:13">
      <c r="A229" s="4" t="s">
        <v>363</v>
      </c>
      <c r="B229" t="s">
        <v>331</v>
      </c>
      <c r="C229" s="2">
        <v>45925</v>
      </c>
      <c r="D229" s="4" t="s">
        <v>63</v>
      </c>
      <c r="E229" s="4" t="s">
        <v>16</v>
      </c>
      <c r="F229" s="6">
        <v>9</v>
      </c>
      <c r="G229" s="6">
        <v>7000</v>
      </c>
      <c r="H229" s="6">
        <v>63000</v>
      </c>
      <c r="I229" s="6">
        <v>4495.53</v>
      </c>
      <c r="J229" s="6">
        <v>22540.23</v>
      </c>
      <c r="K229" t="s">
        <v>33</v>
      </c>
      <c r="L229" t="s">
        <v>18</v>
      </c>
      <c r="M229" t="s">
        <v>34</v>
      </c>
    </row>
    <row r="230" spans="1:13">
      <c r="A230" s="4" t="s">
        <v>364</v>
      </c>
      <c r="B230" t="s">
        <v>365</v>
      </c>
      <c r="C230" s="2">
        <v>45995</v>
      </c>
      <c r="D230" s="4" t="s">
        <v>28</v>
      </c>
      <c r="E230" s="4" t="s">
        <v>23</v>
      </c>
      <c r="F230" s="6">
        <v>7</v>
      </c>
      <c r="G230" s="6">
        <v>220000</v>
      </c>
      <c r="H230" s="6">
        <v>1540000</v>
      </c>
      <c r="I230" s="6">
        <v>149964.95000000001</v>
      </c>
      <c r="J230" s="6">
        <v>490245.35</v>
      </c>
      <c r="K230" t="s">
        <v>17</v>
      </c>
      <c r="L230" t="s">
        <v>18</v>
      </c>
      <c r="M230" t="s">
        <v>38</v>
      </c>
    </row>
    <row r="231" spans="1:13">
      <c r="A231" s="4" t="s">
        <v>366</v>
      </c>
      <c r="B231" t="s">
        <v>73</v>
      </c>
      <c r="C231" s="2">
        <v>45952</v>
      </c>
      <c r="D231" s="4" t="s">
        <v>66</v>
      </c>
      <c r="E231" s="4" t="s">
        <v>49</v>
      </c>
      <c r="F231" s="6">
        <v>5</v>
      </c>
      <c r="G231" s="6">
        <v>120000</v>
      </c>
      <c r="H231" s="6">
        <v>600000</v>
      </c>
      <c r="I231" s="6">
        <v>74866.710000000006</v>
      </c>
      <c r="J231" s="6">
        <v>225666.45</v>
      </c>
      <c r="K231" t="s">
        <v>33</v>
      </c>
      <c r="L231" t="s">
        <v>29</v>
      </c>
      <c r="M231" t="s">
        <v>30</v>
      </c>
    </row>
    <row r="232" spans="1:13">
      <c r="A232" s="4" t="s">
        <v>367</v>
      </c>
      <c r="B232" t="s">
        <v>14</v>
      </c>
      <c r="C232" s="2">
        <v>45926</v>
      </c>
      <c r="D232" s="4" t="s">
        <v>28</v>
      </c>
      <c r="E232" s="4" t="s">
        <v>23</v>
      </c>
      <c r="F232" s="6">
        <v>3</v>
      </c>
      <c r="G232" s="6">
        <v>180000</v>
      </c>
      <c r="H232" s="6">
        <v>540000</v>
      </c>
      <c r="I232" s="6">
        <v>112691.46</v>
      </c>
      <c r="J232" s="6">
        <v>201925.62</v>
      </c>
      <c r="K232" t="s">
        <v>24</v>
      </c>
      <c r="L232" t="s">
        <v>29</v>
      </c>
      <c r="M232" t="s">
        <v>19</v>
      </c>
    </row>
    <row r="233" spans="1:13">
      <c r="A233" s="4" t="s">
        <v>368</v>
      </c>
      <c r="B233" t="s">
        <v>325</v>
      </c>
      <c r="C233" s="2">
        <v>45812</v>
      </c>
      <c r="D233" s="4" t="s">
        <v>63</v>
      </c>
      <c r="E233" s="4" t="s">
        <v>16</v>
      </c>
      <c r="F233" s="6">
        <v>6</v>
      </c>
      <c r="G233" s="6">
        <v>3000</v>
      </c>
      <c r="H233" s="6">
        <v>18000</v>
      </c>
      <c r="I233" s="6">
        <v>2442.62</v>
      </c>
      <c r="J233" s="6">
        <v>3344.28</v>
      </c>
      <c r="K233" t="s">
        <v>80</v>
      </c>
      <c r="L233" t="s">
        <v>18</v>
      </c>
      <c r="M233" t="s">
        <v>30</v>
      </c>
    </row>
    <row r="234" spans="1:13">
      <c r="A234" s="4" t="s">
        <v>369</v>
      </c>
      <c r="B234" t="s">
        <v>321</v>
      </c>
      <c r="C234" s="2">
        <v>45903</v>
      </c>
      <c r="D234" s="4" t="s">
        <v>370</v>
      </c>
      <c r="E234" s="4" t="s">
        <v>23</v>
      </c>
      <c r="F234" s="6">
        <v>11</v>
      </c>
      <c r="G234" s="6">
        <v>30000</v>
      </c>
      <c r="H234" s="6">
        <v>330000</v>
      </c>
      <c r="I234" s="6">
        <v>23242.78</v>
      </c>
      <c r="J234" s="6">
        <v>74329.42</v>
      </c>
      <c r="K234" t="s">
        <v>80</v>
      </c>
      <c r="L234" t="s">
        <v>53</v>
      </c>
      <c r="M234" t="s">
        <v>19</v>
      </c>
    </row>
    <row r="235" spans="1:13">
      <c r="A235" s="4" t="s">
        <v>371</v>
      </c>
      <c r="B235" t="s">
        <v>359</v>
      </c>
      <c r="C235" s="2">
        <v>45928</v>
      </c>
      <c r="D235" s="4" t="s">
        <v>48</v>
      </c>
      <c r="E235" s="4" t="s">
        <v>49</v>
      </c>
      <c r="F235" s="6">
        <v>2</v>
      </c>
      <c r="G235" s="6">
        <v>200000</v>
      </c>
      <c r="H235" s="6">
        <v>400000</v>
      </c>
      <c r="I235" s="6">
        <v>126206.84</v>
      </c>
      <c r="J235" s="6">
        <v>147586.32</v>
      </c>
      <c r="K235" t="s">
        <v>17</v>
      </c>
      <c r="L235" t="s">
        <v>18</v>
      </c>
      <c r="M235" t="s">
        <v>50</v>
      </c>
    </row>
    <row r="236" spans="1:13">
      <c r="A236" s="4" t="s">
        <v>372</v>
      </c>
      <c r="B236" t="s">
        <v>109</v>
      </c>
      <c r="C236" s="2">
        <v>45785</v>
      </c>
      <c r="D236" s="4" t="s">
        <v>63</v>
      </c>
      <c r="E236" s="4" t="s">
        <v>16</v>
      </c>
      <c r="F236" s="6">
        <v>1</v>
      </c>
      <c r="G236" s="6">
        <v>5000</v>
      </c>
      <c r="H236" s="6">
        <v>5000</v>
      </c>
      <c r="I236" s="6">
        <v>3360.29</v>
      </c>
      <c r="J236" s="6">
        <v>1639.71</v>
      </c>
      <c r="K236" t="s">
        <v>24</v>
      </c>
      <c r="L236" t="s">
        <v>29</v>
      </c>
      <c r="M236" t="s">
        <v>19</v>
      </c>
    </row>
    <row r="237" spans="1:13">
      <c r="A237" s="4" t="s">
        <v>373</v>
      </c>
      <c r="B237" t="s">
        <v>176</v>
      </c>
      <c r="C237" s="2">
        <v>45882</v>
      </c>
      <c r="D237" s="4" t="s">
        <v>52</v>
      </c>
      <c r="E237" s="4" t="s">
        <v>23</v>
      </c>
      <c r="F237" s="6">
        <v>12</v>
      </c>
      <c r="G237" s="6">
        <v>45000</v>
      </c>
      <c r="H237" s="6">
        <v>540000</v>
      </c>
      <c r="I237" s="6">
        <v>27611.38</v>
      </c>
      <c r="J237" s="6">
        <v>208663.44</v>
      </c>
      <c r="K237" t="s">
        <v>17</v>
      </c>
      <c r="L237" t="s">
        <v>18</v>
      </c>
      <c r="M237" t="s">
        <v>25</v>
      </c>
    </row>
    <row r="238" spans="1:13">
      <c r="A238" s="4" t="s">
        <v>374</v>
      </c>
      <c r="B238" t="s">
        <v>331</v>
      </c>
      <c r="C238" s="2">
        <v>45731</v>
      </c>
      <c r="D238" s="4" t="s">
        <v>63</v>
      </c>
      <c r="E238" s="4" t="s">
        <v>16</v>
      </c>
      <c r="F238" s="6">
        <v>1</v>
      </c>
      <c r="G238" s="6">
        <v>3000</v>
      </c>
      <c r="H238" s="6">
        <v>3000</v>
      </c>
      <c r="I238" s="6">
        <v>2113.08</v>
      </c>
      <c r="J238" s="6">
        <v>886.92</v>
      </c>
      <c r="K238" t="s">
        <v>80</v>
      </c>
      <c r="L238" t="s">
        <v>29</v>
      </c>
      <c r="M238" t="s">
        <v>19</v>
      </c>
    </row>
    <row r="239" spans="1:13">
      <c r="A239" s="4" t="s">
        <v>375</v>
      </c>
      <c r="B239" t="s">
        <v>365</v>
      </c>
      <c r="C239" s="2">
        <v>45702</v>
      </c>
      <c r="D239" s="4" t="s">
        <v>37</v>
      </c>
      <c r="E239" s="4" t="s">
        <v>16</v>
      </c>
      <c r="F239" s="6">
        <v>5</v>
      </c>
      <c r="G239" s="6">
        <v>18000</v>
      </c>
      <c r="H239" s="6">
        <v>90000</v>
      </c>
      <c r="I239" s="6">
        <v>11493.49</v>
      </c>
      <c r="J239" s="6">
        <v>32532.55</v>
      </c>
      <c r="K239" t="s">
        <v>33</v>
      </c>
      <c r="L239" t="s">
        <v>18</v>
      </c>
      <c r="M239" t="s">
        <v>38</v>
      </c>
    </row>
    <row r="240" spans="1:13">
      <c r="A240" s="4" t="s">
        <v>376</v>
      </c>
      <c r="B240" t="s">
        <v>266</v>
      </c>
      <c r="C240" s="2">
        <v>45848</v>
      </c>
      <c r="D240" s="4" t="s">
        <v>28</v>
      </c>
      <c r="E240" s="4" t="s">
        <v>23</v>
      </c>
      <c r="F240" s="6">
        <v>6</v>
      </c>
      <c r="G240" s="6">
        <v>180000</v>
      </c>
      <c r="H240" s="6">
        <v>1080000</v>
      </c>
      <c r="I240" s="6">
        <v>109317.54</v>
      </c>
      <c r="J240" s="6">
        <v>424094.76</v>
      </c>
      <c r="K240" t="s">
        <v>80</v>
      </c>
      <c r="L240" t="s">
        <v>29</v>
      </c>
      <c r="M240" t="s">
        <v>34</v>
      </c>
    </row>
    <row r="241" spans="1:13">
      <c r="A241" s="4" t="s">
        <v>377</v>
      </c>
      <c r="B241" t="s">
        <v>100</v>
      </c>
      <c r="C241" s="2">
        <v>45783</v>
      </c>
      <c r="D241" s="4" t="s">
        <v>28</v>
      </c>
      <c r="E241" s="4" t="s">
        <v>23</v>
      </c>
      <c r="F241" s="6">
        <v>6</v>
      </c>
      <c r="G241" s="6">
        <v>220000</v>
      </c>
      <c r="H241" s="6">
        <v>1320000</v>
      </c>
      <c r="I241" s="6">
        <v>135929.03</v>
      </c>
      <c r="J241" s="6">
        <v>504425.82</v>
      </c>
      <c r="K241" t="s">
        <v>24</v>
      </c>
      <c r="L241" t="s">
        <v>18</v>
      </c>
      <c r="M241" t="s">
        <v>34</v>
      </c>
    </row>
    <row r="242" spans="1:13">
      <c r="A242" s="4" t="s">
        <v>378</v>
      </c>
      <c r="B242" t="s">
        <v>55</v>
      </c>
      <c r="C242" s="2">
        <v>45674</v>
      </c>
      <c r="D242" s="4" t="s">
        <v>48</v>
      </c>
      <c r="E242" s="4" t="s">
        <v>49</v>
      </c>
      <c r="F242" s="6">
        <v>6</v>
      </c>
      <c r="G242" s="6">
        <v>140000</v>
      </c>
      <c r="H242" s="6">
        <v>840000</v>
      </c>
      <c r="I242" s="6">
        <v>84643.33</v>
      </c>
      <c r="J242" s="6">
        <v>332140.02</v>
      </c>
      <c r="K242" t="s">
        <v>33</v>
      </c>
      <c r="L242" t="s">
        <v>53</v>
      </c>
      <c r="M242" t="s">
        <v>38</v>
      </c>
    </row>
    <row r="243" spans="1:13">
      <c r="A243" s="4" t="s">
        <v>379</v>
      </c>
      <c r="B243" t="s">
        <v>380</v>
      </c>
      <c r="C243" s="2">
        <v>45759</v>
      </c>
      <c r="D243" s="4" t="s">
        <v>22</v>
      </c>
      <c r="E243" s="4" t="s">
        <v>23</v>
      </c>
      <c r="F243" s="6">
        <v>8</v>
      </c>
      <c r="G243" s="6">
        <v>280000</v>
      </c>
      <c r="H243" s="6">
        <v>2240000</v>
      </c>
      <c r="I243" s="6">
        <v>191265.95</v>
      </c>
      <c r="J243" s="6">
        <v>709872.4</v>
      </c>
      <c r="K243" t="s">
        <v>71</v>
      </c>
      <c r="L243" t="s">
        <v>53</v>
      </c>
      <c r="M243" t="s">
        <v>19</v>
      </c>
    </row>
    <row r="244" spans="1:13">
      <c r="A244" s="4" t="s">
        <v>381</v>
      </c>
      <c r="B244" t="s">
        <v>278</v>
      </c>
      <c r="C244" s="2">
        <v>45736</v>
      </c>
      <c r="D244" s="4" t="s">
        <v>52</v>
      </c>
      <c r="E244" s="4" t="s">
        <v>23</v>
      </c>
      <c r="F244" s="6">
        <v>2</v>
      </c>
      <c r="G244" s="6">
        <v>65000</v>
      </c>
      <c r="H244" s="6">
        <v>130000</v>
      </c>
      <c r="I244" s="6">
        <v>45357.18</v>
      </c>
      <c r="J244" s="6">
        <v>39285.64</v>
      </c>
      <c r="K244" t="s">
        <v>24</v>
      </c>
      <c r="L244" t="s">
        <v>18</v>
      </c>
      <c r="M244" t="s">
        <v>25</v>
      </c>
    </row>
    <row r="245" spans="1:13">
      <c r="A245" s="4" t="s">
        <v>382</v>
      </c>
      <c r="B245" t="s">
        <v>176</v>
      </c>
      <c r="C245" s="2">
        <v>45911</v>
      </c>
      <c r="D245" s="4" t="s">
        <v>52</v>
      </c>
      <c r="E245" s="4" t="s">
        <v>23</v>
      </c>
      <c r="F245" s="6">
        <v>2</v>
      </c>
      <c r="G245" s="6">
        <v>45000</v>
      </c>
      <c r="H245" s="6">
        <v>90000</v>
      </c>
      <c r="I245" s="6">
        <v>33806.49</v>
      </c>
      <c r="J245" s="6">
        <v>22387.02</v>
      </c>
      <c r="K245" t="s">
        <v>24</v>
      </c>
      <c r="L245" t="s">
        <v>29</v>
      </c>
      <c r="M245" t="s">
        <v>38</v>
      </c>
    </row>
    <row r="246" spans="1:13">
      <c r="A246" s="4" t="s">
        <v>383</v>
      </c>
      <c r="B246" t="s">
        <v>149</v>
      </c>
      <c r="C246" s="2">
        <v>45975</v>
      </c>
      <c r="D246" s="4" t="s">
        <v>384</v>
      </c>
      <c r="E246" s="4" t="s">
        <v>49</v>
      </c>
      <c r="F246" s="6">
        <v>1</v>
      </c>
      <c r="G246" s="6">
        <v>120000</v>
      </c>
      <c r="H246" s="6">
        <v>120000</v>
      </c>
      <c r="I246" s="6">
        <v>97013.05</v>
      </c>
      <c r="J246" s="6">
        <v>22986.95</v>
      </c>
      <c r="K246" t="s">
        <v>71</v>
      </c>
      <c r="L246" t="s">
        <v>53</v>
      </c>
      <c r="M246" t="s">
        <v>34</v>
      </c>
    </row>
    <row r="247" spans="1:13">
      <c r="A247" s="4" t="s">
        <v>385</v>
      </c>
      <c r="B247" t="s">
        <v>196</v>
      </c>
      <c r="C247" s="2">
        <v>45953</v>
      </c>
      <c r="D247" s="4" t="s">
        <v>63</v>
      </c>
      <c r="E247" s="4" t="s">
        <v>16</v>
      </c>
      <c r="F247" s="6">
        <v>10</v>
      </c>
      <c r="G247" s="6">
        <v>7000</v>
      </c>
      <c r="H247" s="6">
        <v>70000</v>
      </c>
      <c r="I247" s="6">
        <v>5434.88</v>
      </c>
      <c r="J247" s="6">
        <v>15651.2</v>
      </c>
      <c r="K247" t="s">
        <v>24</v>
      </c>
      <c r="L247" t="s">
        <v>53</v>
      </c>
      <c r="M247" t="s">
        <v>38</v>
      </c>
    </row>
    <row r="248" spans="1:13">
      <c r="A248" s="4" t="s">
        <v>386</v>
      </c>
      <c r="B248" t="s">
        <v>200</v>
      </c>
      <c r="C248" s="2">
        <v>45959</v>
      </c>
      <c r="D248" s="4" t="s">
        <v>28</v>
      </c>
      <c r="E248" s="4" t="s">
        <v>23</v>
      </c>
      <c r="F248" s="6">
        <v>3</v>
      </c>
      <c r="G248" s="6">
        <v>300000</v>
      </c>
      <c r="H248" s="6">
        <v>900000</v>
      </c>
      <c r="I248" s="6">
        <v>178683.55</v>
      </c>
      <c r="J248" s="6">
        <v>363949.35</v>
      </c>
      <c r="K248" t="s">
        <v>33</v>
      </c>
      <c r="L248" t="s">
        <v>53</v>
      </c>
      <c r="M248" t="s">
        <v>25</v>
      </c>
    </row>
    <row r="249" spans="1:13">
      <c r="A249" s="4" t="s">
        <v>387</v>
      </c>
      <c r="B249" t="s">
        <v>77</v>
      </c>
      <c r="C249" s="2">
        <v>45795</v>
      </c>
      <c r="D249" s="4" t="s">
        <v>37</v>
      </c>
      <c r="E249" s="4" t="s">
        <v>16</v>
      </c>
      <c r="F249" s="6">
        <v>10</v>
      </c>
      <c r="G249" s="6">
        <v>12000</v>
      </c>
      <c r="H249" s="6">
        <v>120000</v>
      </c>
      <c r="I249" s="6">
        <v>7395.26</v>
      </c>
      <c r="J249" s="6">
        <v>46047.4</v>
      </c>
      <c r="K249" t="s">
        <v>17</v>
      </c>
      <c r="L249" t="s">
        <v>53</v>
      </c>
      <c r="M249" t="s">
        <v>38</v>
      </c>
    </row>
    <row r="250" spans="1:13">
      <c r="A250" s="4" t="s">
        <v>388</v>
      </c>
      <c r="B250" t="s">
        <v>90</v>
      </c>
      <c r="C250" s="2">
        <v>45944</v>
      </c>
      <c r="D250" s="4" t="s">
        <v>52</v>
      </c>
      <c r="E250" s="4" t="s">
        <v>23</v>
      </c>
      <c r="F250" s="6">
        <v>8</v>
      </c>
      <c r="G250" s="6">
        <v>45000</v>
      </c>
      <c r="H250" s="6">
        <v>360000</v>
      </c>
      <c r="I250" s="6">
        <v>36229.22</v>
      </c>
      <c r="J250" s="6">
        <v>70166.240000000005</v>
      </c>
      <c r="K250" t="s">
        <v>17</v>
      </c>
      <c r="L250" t="s">
        <v>29</v>
      </c>
      <c r="M250" t="s">
        <v>30</v>
      </c>
    </row>
    <row r="251" spans="1:13">
      <c r="A251" s="4" t="s">
        <v>389</v>
      </c>
      <c r="B251" t="s">
        <v>146</v>
      </c>
      <c r="C251" s="2">
        <v>45871</v>
      </c>
      <c r="D251" s="4" t="s">
        <v>70</v>
      </c>
      <c r="E251" s="4" t="s">
        <v>16</v>
      </c>
      <c r="F251" s="6">
        <v>2</v>
      </c>
      <c r="G251" s="6">
        <v>15000</v>
      </c>
      <c r="H251" s="6">
        <v>30000</v>
      </c>
      <c r="I251" s="6">
        <v>11391.64</v>
      </c>
      <c r="J251" s="6">
        <v>7216.72</v>
      </c>
      <c r="K251" t="s">
        <v>17</v>
      </c>
      <c r="L251" t="s">
        <v>18</v>
      </c>
      <c r="M251" t="s">
        <v>34</v>
      </c>
    </row>
    <row r="252" spans="1:13">
      <c r="A252" s="4" t="s">
        <v>390</v>
      </c>
      <c r="B252" t="s">
        <v>391</v>
      </c>
      <c r="C252" s="2">
        <v>45889</v>
      </c>
      <c r="D252" s="4" t="s">
        <v>63</v>
      </c>
      <c r="E252" s="4" t="s">
        <v>16</v>
      </c>
      <c r="F252" s="6">
        <v>8</v>
      </c>
      <c r="G252" s="6">
        <v>5000</v>
      </c>
      <c r="H252" s="6">
        <v>40000</v>
      </c>
      <c r="I252" s="6">
        <v>2900.23</v>
      </c>
      <c r="J252" s="6">
        <v>16798.16</v>
      </c>
      <c r="K252" t="s">
        <v>24</v>
      </c>
      <c r="L252" t="s">
        <v>18</v>
      </c>
      <c r="M252" t="s">
        <v>67</v>
      </c>
    </row>
    <row r="253" spans="1:13">
      <c r="A253" s="4" t="s">
        <v>392</v>
      </c>
      <c r="B253" t="s">
        <v>133</v>
      </c>
      <c r="C253" s="2">
        <v>45988</v>
      </c>
      <c r="D253" s="4" t="s">
        <v>56</v>
      </c>
      <c r="E253" s="4" t="s">
        <v>23</v>
      </c>
      <c r="F253" s="6">
        <v>3</v>
      </c>
      <c r="G253" s="6">
        <v>70000</v>
      </c>
      <c r="H253" s="6">
        <v>210000</v>
      </c>
      <c r="I253" s="6">
        <v>43403.34</v>
      </c>
      <c r="J253" s="6">
        <v>79789.98</v>
      </c>
      <c r="K253" t="s">
        <v>71</v>
      </c>
      <c r="L253" t="s">
        <v>53</v>
      </c>
      <c r="M253" t="s">
        <v>19</v>
      </c>
    </row>
    <row r="254" spans="1:13">
      <c r="A254" s="4" t="s">
        <v>393</v>
      </c>
      <c r="B254" t="s">
        <v>292</v>
      </c>
      <c r="C254" s="2">
        <v>45881</v>
      </c>
      <c r="D254" s="4" t="s">
        <v>106</v>
      </c>
      <c r="E254" s="4" t="s">
        <v>23</v>
      </c>
      <c r="F254" s="6">
        <v>8</v>
      </c>
      <c r="G254" s="6">
        <v>120000</v>
      </c>
      <c r="H254" s="6">
        <v>960000</v>
      </c>
      <c r="I254" s="6">
        <v>80799.09</v>
      </c>
      <c r="J254" s="6">
        <v>313607.28000000003</v>
      </c>
      <c r="K254" t="s">
        <v>80</v>
      </c>
      <c r="L254" t="s">
        <v>18</v>
      </c>
      <c r="M254" t="s">
        <v>50</v>
      </c>
    </row>
    <row r="255" spans="1:13">
      <c r="A255" s="4" t="s">
        <v>394</v>
      </c>
      <c r="B255" t="s">
        <v>231</v>
      </c>
      <c r="C255" s="2">
        <v>45820</v>
      </c>
      <c r="D255" s="4" t="s">
        <v>15</v>
      </c>
      <c r="E255" s="4" t="s">
        <v>16</v>
      </c>
      <c r="F255" s="6">
        <v>2</v>
      </c>
      <c r="G255" s="6">
        <v>12500</v>
      </c>
      <c r="H255" s="6">
        <v>25000</v>
      </c>
      <c r="I255" s="6">
        <v>8848.8799999999992</v>
      </c>
      <c r="J255" s="6">
        <v>7302.24</v>
      </c>
      <c r="K255" t="s">
        <v>17</v>
      </c>
      <c r="L255" t="s">
        <v>53</v>
      </c>
      <c r="M255" t="s">
        <v>19</v>
      </c>
    </row>
    <row r="256" spans="1:13">
      <c r="A256" s="4" t="s">
        <v>395</v>
      </c>
      <c r="B256" t="s">
        <v>165</v>
      </c>
      <c r="C256" s="2">
        <v>45829</v>
      </c>
      <c r="D256" s="4" t="s">
        <v>48</v>
      </c>
      <c r="E256" s="4" t="s">
        <v>49</v>
      </c>
      <c r="F256" s="6">
        <v>2</v>
      </c>
      <c r="G256" s="6">
        <v>200000</v>
      </c>
      <c r="H256" s="6">
        <v>400000</v>
      </c>
      <c r="I256" s="6">
        <v>152293.47</v>
      </c>
      <c r="J256" s="6">
        <v>95413.06</v>
      </c>
      <c r="K256" t="s">
        <v>17</v>
      </c>
      <c r="L256" t="s">
        <v>29</v>
      </c>
      <c r="M256" t="s">
        <v>38</v>
      </c>
    </row>
    <row r="257" spans="1:13">
      <c r="A257" s="4" t="s">
        <v>396</v>
      </c>
      <c r="B257" t="s">
        <v>219</v>
      </c>
      <c r="C257" s="2">
        <v>45784</v>
      </c>
      <c r="D257" s="4" t="s">
        <v>70</v>
      </c>
      <c r="E257" s="4" t="s">
        <v>16</v>
      </c>
      <c r="F257" s="6">
        <v>4</v>
      </c>
      <c r="G257" s="6">
        <v>22000</v>
      </c>
      <c r="H257" s="6">
        <v>88000</v>
      </c>
      <c r="I257" s="6">
        <v>15052.83</v>
      </c>
      <c r="J257" s="6">
        <v>27788.68</v>
      </c>
      <c r="K257" t="s">
        <v>33</v>
      </c>
      <c r="L257" t="s">
        <v>53</v>
      </c>
      <c r="M257" t="s">
        <v>25</v>
      </c>
    </row>
    <row r="258" spans="1:13">
      <c r="A258" s="4" t="s">
        <v>397</v>
      </c>
      <c r="B258" t="s">
        <v>96</v>
      </c>
      <c r="C258" s="2">
        <v>45811</v>
      </c>
      <c r="D258" s="4" t="s">
        <v>37</v>
      </c>
      <c r="E258" s="4" t="s">
        <v>16</v>
      </c>
      <c r="F258" s="6">
        <v>12</v>
      </c>
      <c r="G258" s="6">
        <v>12000</v>
      </c>
      <c r="H258" s="6">
        <v>144000</v>
      </c>
      <c r="I258" s="6">
        <v>9280.64</v>
      </c>
      <c r="J258" s="6">
        <v>32632.32</v>
      </c>
      <c r="K258" t="s">
        <v>33</v>
      </c>
      <c r="L258" t="s">
        <v>29</v>
      </c>
      <c r="M258" t="s">
        <v>30</v>
      </c>
    </row>
    <row r="259" spans="1:13">
      <c r="A259" s="4" t="s">
        <v>398</v>
      </c>
      <c r="B259" t="s">
        <v>141</v>
      </c>
      <c r="C259" s="2" t="s">
        <v>220</v>
      </c>
      <c r="D259" s="4" t="s">
        <v>45</v>
      </c>
      <c r="E259" s="4" t="s">
        <v>23</v>
      </c>
      <c r="F259" s="6">
        <v>2</v>
      </c>
      <c r="G259" s="6">
        <v>450000</v>
      </c>
      <c r="H259" s="6">
        <v>900000</v>
      </c>
      <c r="I259" s="6">
        <v>302133.99</v>
      </c>
      <c r="J259" s="6">
        <v>295732.02</v>
      </c>
      <c r="K259" t="s">
        <v>17</v>
      </c>
      <c r="L259" t="s">
        <v>53</v>
      </c>
      <c r="M259" t="s">
        <v>19</v>
      </c>
    </row>
    <row r="260" spans="1:13">
      <c r="A260" s="4" t="s">
        <v>399</v>
      </c>
      <c r="B260" t="s">
        <v>86</v>
      </c>
      <c r="C260" s="2">
        <v>45860</v>
      </c>
      <c r="D260" s="4" t="s">
        <v>66</v>
      </c>
      <c r="E260" s="4" t="s">
        <v>49</v>
      </c>
      <c r="F260" s="6">
        <v>11</v>
      </c>
      <c r="G260" s="6">
        <v>175000</v>
      </c>
      <c r="H260" s="6">
        <v>1925000</v>
      </c>
      <c r="I260" s="6">
        <v>109736.17</v>
      </c>
      <c r="J260" s="6">
        <v>717902.13</v>
      </c>
      <c r="K260" t="s">
        <v>33</v>
      </c>
      <c r="L260" t="s">
        <v>53</v>
      </c>
      <c r="M260" t="s">
        <v>50</v>
      </c>
    </row>
    <row r="261" spans="1:13">
      <c r="A261" s="4" t="s">
        <v>400</v>
      </c>
      <c r="B261" t="s">
        <v>211</v>
      </c>
      <c r="C261" s="2">
        <v>45819</v>
      </c>
      <c r="D261" s="4" t="s">
        <v>37</v>
      </c>
      <c r="E261" s="4" t="s">
        <v>16</v>
      </c>
      <c r="F261" s="6">
        <v>7</v>
      </c>
      <c r="G261" s="6">
        <v>18000</v>
      </c>
      <c r="H261" s="6">
        <v>126000</v>
      </c>
      <c r="I261" s="6">
        <v>12671.3</v>
      </c>
      <c r="J261" s="6">
        <v>37300.9</v>
      </c>
      <c r="K261" t="s">
        <v>24</v>
      </c>
      <c r="L261" t="s">
        <v>53</v>
      </c>
      <c r="M261" t="s">
        <v>19</v>
      </c>
    </row>
    <row r="262" spans="1:13">
      <c r="A262" s="4" t="s">
        <v>401</v>
      </c>
      <c r="B262" t="s">
        <v>36</v>
      </c>
      <c r="C262" s="2">
        <v>45866</v>
      </c>
      <c r="D262" s="4" t="s">
        <v>15</v>
      </c>
      <c r="E262" s="4" t="s">
        <v>16</v>
      </c>
      <c r="F262" s="6">
        <v>11</v>
      </c>
      <c r="G262" s="6">
        <v>10000</v>
      </c>
      <c r="H262" s="6">
        <v>110000</v>
      </c>
      <c r="I262" s="6">
        <v>6945.88</v>
      </c>
      <c r="J262" s="6">
        <v>33595.32</v>
      </c>
      <c r="K262" t="s">
        <v>24</v>
      </c>
      <c r="L262" t="s">
        <v>29</v>
      </c>
      <c r="M262" t="s">
        <v>19</v>
      </c>
    </row>
    <row r="263" spans="1:13">
      <c r="A263" s="4" t="s">
        <v>402</v>
      </c>
      <c r="B263" t="s">
        <v>92</v>
      </c>
      <c r="C263" s="2">
        <v>45880</v>
      </c>
      <c r="D263" s="4" t="s">
        <v>15</v>
      </c>
      <c r="E263" s="4" t="s">
        <v>16</v>
      </c>
      <c r="F263" s="6">
        <v>11</v>
      </c>
      <c r="G263" s="6">
        <v>10000</v>
      </c>
      <c r="H263" s="6">
        <v>110000</v>
      </c>
      <c r="I263" s="6">
        <v>6023.07</v>
      </c>
      <c r="J263" s="6">
        <v>43746.23</v>
      </c>
      <c r="K263" t="s">
        <v>24</v>
      </c>
      <c r="L263" t="s">
        <v>29</v>
      </c>
      <c r="M263" t="s">
        <v>38</v>
      </c>
    </row>
    <row r="264" spans="1:13">
      <c r="A264" s="4" t="s">
        <v>403</v>
      </c>
      <c r="B264" t="s">
        <v>359</v>
      </c>
      <c r="C264" s="2">
        <v>45887</v>
      </c>
      <c r="D264" s="4" t="s">
        <v>56</v>
      </c>
      <c r="E264" s="4" t="s">
        <v>23</v>
      </c>
      <c r="F264" s="6">
        <v>4</v>
      </c>
      <c r="G264" s="6">
        <v>70000</v>
      </c>
      <c r="H264" s="6">
        <v>280000</v>
      </c>
      <c r="I264" s="6">
        <v>44618.03</v>
      </c>
      <c r="J264" s="6">
        <v>101527.88</v>
      </c>
      <c r="K264" t="s">
        <v>71</v>
      </c>
      <c r="L264" t="s">
        <v>29</v>
      </c>
      <c r="M264" t="s">
        <v>38</v>
      </c>
    </row>
    <row r="265" spans="1:13">
      <c r="A265" s="4" t="s">
        <v>404</v>
      </c>
      <c r="B265" t="s">
        <v>380</v>
      </c>
      <c r="C265" s="2">
        <v>45878</v>
      </c>
      <c r="D265" s="4" t="s">
        <v>45</v>
      </c>
      <c r="E265" s="4" t="s">
        <v>23</v>
      </c>
      <c r="F265" s="6">
        <v>5</v>
      </c>
      <c r="G265" s="6">
        <v>650000</v>
      </c>
      <c r="H265" s="6">
        <v>3250000</v>
      </c>
      <c r="I265" s="6">
        <v>413069.6</v>
      </c>
      <c r="J265" s="6">
        <v>1184652</v>
      </c>
      <c r="K265" t="s">
        <v>33</v>
      </c>
      <c r="L265" t="s">
        <v>29</v>
      </c>
      <c r="M265" t="s">
        <v>50</v>
      </c>
    </row>
    <row r="266" spans="1:13">
      <c r="A266" s="4" t="s">
        <v>405</v>
      </c>
      <c r="B266" t="s">
        <v>266</v>
      </c>
      <c r="C266" s="2">
        <v>45969</v>
      </c>
      <c r="D266" s="4" t="s">
        <v>22</v>
      </c>
      <c r="E266" s="4" t="s">
        <v>23</v>
      </c>
      <c r="F266" s="6">
        <v>8</v>
      </c>
      <c r="G266" s="6">
        <v>150000</v>
      </c>
      <c r="H266" s="6">
        <v>1200000</v>
      </c>
      <c r="I266" s="6">
        <v>93199.19</v>
      </c>
      <c r="J266" s="6">
        <v>454406.48</v>
      </c>
      <c r="K266" t="s">
        <v>71</v>
      </c>
      <c r="L266" t="s">
        <v>18</v>
      </c>
      <c r="M266" t="s">
        <v>25</v>
      </c>
    </row>
    <row r="267" spans="1:13">
      <c r="A267" s="4" t="s">
        <v>406</v>
      </c>
      <c r="B267" t="s">
        <v>215</v>
      </c>
      <c r="C267" s="2">
        <v>45820</v>
      </c>
      <c r="D267" s="4" t="s">
        <v>56</v>
      </c>
      <c r="E267" s="4" t="s">
        <v>23</v>
      </c>
      <c r="F267" s="6">
        <v>9</v>
      </c>
      <c r="G267" s="6">
        <v>30000</v>
      </c>
      <c r="H267" s="6">
        <v>270000</v>
      </c>
      <c r="I267" s="6">
        <v>24290.31</v>
      </c>
      <c r="J267" s="6">
        <v>51387.21</v>
      </c>
      <c r="K267" t="s">
        <v>17</v>
      </c>
      <c r="L267" t="s">
        <v>18</v>
      </c>
      <c r="M267" t="s">
        <v>50</v>
      </c>
    </row>
    <row r="268" spans="1:13">
      <c r="A268" s="4" t="s">
        <v>407</v>
      </c>
      <c r="B268" t="s">
        <v>84</v>
      </c>
      <c r="C268" s="2">
        <v>45931</v>
      </c>
      <c r="D268" s="4" t="s">
        <v>22</v>
      </c>
      <c r="E268" s="4" t="s">
        <v>23</v>
      </c>
      <c r="F268" s="6">
        <v>2</v>
      </c>
      <c r="G268" s="6">
        <v>280000</v>
      </c>
      <c r="H268" s="6">
        <v>560000</v>
      </c>
      <c r="I268" s="6">
        <v>205474.36</v>
      </c>
      <c r="J268" s="6">
        <v>149051.28</v>
      </c>
      <c r="K268" t="s">
        <v>33</v>
      </c>
      <c r="L268" t="s">
        <v>53</v>
      </c>
      <c r="M268" t="s">
        <v>50</v>
      </c>
    </row>
    <row r="269" spans="1:13">
      <c r="A269" s="4" t="s">
        <v>408</v>
      </c>
      <c r="B269" t="s">
        <v>294</v>
      </c>
      <c r="C269" s="2">
        <v>45958</v>
      </c>
      <c r="D269" s="4" t="s">
        <v>63</v>
      </c>
      <c r="E269" s="4" t="s">
        <v>16</v>
      </c>
      <c r="F269" s="6">
        <v>9</v>
      </c>
      <c r="G269" s="6">
        <v>5000</v>
      </c>
      <c r="H269" s="6">
        <v>45000</v>
      </c>
      <c r="I269" s="6">
        <v>3396.79</v>
      </c>
      <c r="J269" s="6">
        <v>14428.89</v>
      </c>
      <c r="K269" t="s">
        <v>17</v>
      </c>
      <c r="L269" t="s">
        <v>53</v>
      </c>
      <c r="M269" t="s">
        <v>38</v>
      </c>
    </row>
    <row r="270" spans="1:13">
      <c r="A270" s="4" t="s">
        <v>409</v>
      </c>
      <c r="B270" t="s">
        <v>42</v>
      </c>
      <c r="C270" s="2">
        <v>45785</v>
      </c>
      <c r="D270" s="4" t="s">
        <v>52</v>
      </c>
      <c r="E270" s="4" t="s">
        <v>23</v>
      </c>
      <c r="F270" s="6">
        <v>5</v>
      </c>
      <c r="G270" s="6">
        <v>45000</v>
      </c>
      <c r="H270" s="6">
        <v>225000</v>
      </c>
      <c r="I270" s="6">
        <v>34603.64</v>
      </c>
      <c r="J270" s="6">
        <v>51981.8</v>
      </c>
      <c r="K270" t="s">
        <v>80</v>
      </c>
      <c r="L270" t="s">
        <v>53</v>
      </c>
      <c r="M270" t="s">
        <v>34</v>
      </c>
    </row>
    <row r="271" spans="1:13">
      <c r="A271" s="4" t="s">
        <v>410</v>
      </c>
      <c r="B271" t="s">
        <v>82</v>
      </c>
      <c r="C271" s="2">
        <v>45917</v>
      </c>
      <c r="D271" s="4" t="s">
        <v>66</v>
      </c>
      <c r="E271" s="4" t="s">
        <v>49</v>
      </c>
      <c r="F271" s="6">
        <v>1</v>
      </c>
      <c r="G271" s="6">
        <v>120000</v>
      </c>
      <c r="H271" s="6">
        <v>120000</v>
      </c>
      <c r="I271" s="6">
        <v>95662.73</v>
      </c>
      <c r="J271" s="6">
        <v>24337.27</v>
      </c>
      <c r="K271" t="s">
        <v>71</v>
      </c>
      <c r="L271" t="s">
        <v>29</v>
      </c>
      <c r="M271" t="s">
        <v>30</v>
      </c>
    </row>
    <row r="272" spans="1:13">
      <c r="A272" s="4" t="s">
        <v>411</v>
      </c>
      <c r="B272" t="s">
        <v>138</v>
      </c>
      <c r="C272" s="2">
        <v>45810</v>
      </c>
      <c r="D272" s="4" t="s">
        <v>48</v>
      </c>
      <c r="E272" s="4" t="s">
        <v>49</v>
      </c>
      <c r="F272" s="6">
        <v>4</v>
      </c>
      <c r="G272" s="6">
        <v>140000</v>
      </c>
      <c r="H272" s="6">
        <v>560000</v>
      </c>
      <c r="I272" s="6">
        <v>107111.46</v>
      </c>
      <c r="J272" s="6">
        <v>131554.16</v>
      </c>
      <c r="K272" t="s">
        <v>71</v>
      </c>
      <c r="L272" t="s">
        <v>18</v>
      </c>
      <c r="M272" t="s">
        <v>38</v>
      </c>
    </row>
    <row r="273" spans="1:13">
      <c r="A273" s="4" t="s">
        <v>412</v>
      </c>
      <c r="B273" t="s">
        <v>224</v>
      </c>
      <c r="C273" s="2">
        <v>45660</v>
      </c>
      <c r="D273" s="4" t="s">
        <v>15</v>
      </c>
      <c r="E273" s="4" t="s">
        <v>16</v>
      </c>
      <c r="F273" s="6">
        <v>12</v>
      </c>
      <c r="G273" s="6">
        <v>12500</v>
      </c>
      <c r="H273" s="6">
        <v>150000</v>
      </c>
      <c r="I273" s="6">
        <v>10176.799999999999</v>
      </c>
      <c r="J273" s="6">
        <v>27878.400000000001</v>
      </c>
      <c r="K273" t="s">
        <v>24</v>
      </c>
      <c r="L273" t="s">
        <v>29</v>
      </c>
      <c r="M273" t="s">
        <v>19</v>
      </c>
    </row>
    <row r="274" spans="1:13">
      <c r="A274" s="4" t="s">
        <v>413</v>
      </c>
      <c r="B274" t="s">
        <v>359</v>
      </c>
      <c r="C274" s="2">
        <v>45782</v>
      </c>
      <c r="D274" s="4" t="s">
        <v>56</v>
      </c>
      <c r="E274" s="4" t="s">
        <v>23</v>
      </c>
      <c r="F274" s="6">
        <v>5</v>
      </c>
      <c r="G274" s="6">
        <v>70000</v>
      </c>
      <c r="H274" s="6">
        <v>350000</v>
      </c>
      <c r="I274" s="6">
        <v>50370.13</v>
      </c>
      <c r="J274" s="6">
        <v>98149.35</v>
      </c>
      <c r="K274" t="s">
        <v>33</v>
      </c>
      <c r="L274" t="s">
        <v>18</v>
      </c>
      <c r="M274" t="s">
        <v>19</v>
      </c>
    </row>
    <row r="275" spans="1:13">
      <c r="A275" s="4" t="s">
        <v>414</v>
      </c>
      <c r="B275" t="s">
        <v>415</v>
      </c>
      <c r="C275" s="2">
        <v>45963</v>
      </c>
      <c r="D275" s="4" t="s">
        <v>22</v>
      </c>
      <c r="E275" s="4" t="s">
        <v>23</v>
      </c>
      <c r="F275" s="6">
        <v>2</v>
      </c>
      <c r="G275" s="6">
        <v>150000</v>
      </c>
      <c r="H275" s="6">
        <v>300000</v>
      </c>
      <c r="I275" s="6">
        <v>92600.88</v>
      </c>
      <c r="J275" s="6">
        <v>114798.24</v>
      </c>
      <c r="K275" t="s">
        <v>33</v>
      </c>
      <c r="L275" t="s">
        <v>53</v>
      </c>
      <c r="M275" t="s">
        <v>38</v>
      </c>
    </row>
    <row r="276" spans="1:13">
      <c r="A276" s="4" t="s">
        <v>416</v>
      </c>
      <c r="B276" t="s">
        <v>417</v>
      </c>
      <c r="C276" s="2">
        <v>45966</v>
      </c>
      <c r="D276" s="4" t="s">
        <v>48</v>
      </c>
      <c r="E276" s="4" t="s">
        <v>49</v>
      </c>
      <c r="F276" s="6">
        <v>1</v>
      </c>
      <c r="G276" s="6">
        <v>200000</v>
      </c>
      <c r="H276" s="6">
        <v>200000</v>
      </c>
      <c r="I276" s="6">
        <v>125544.21</v>
      </c>
      <c r="J276" s="6">
        <v>74455.789999999994</v>
      </c>
      <c r="K276" t="s">
        <v>33</v>
      </c>
      <c r="L276" t="s">
        <v>29</v>
      </c>
      <c r="M276" t="s">
        <v>50</v>
      </c>
    </row>
    <row r="277" spans="1:13">
      <c r="A277" s="4" t="s">
        <v>418</v>
      </c>
      <c r="B277" t="s">
        <v>135</v>
      </c>
      <c r="C277" s="2">
        <v>45862</v>
      </c>
      <c r="D277" s="4" t="s">
        <v>419</v>
      </c>
      <c r="E277" s="4" t="s">
        <v>49</v>
      </c>
      <c r="F277" s="6">
        <f>Cleaned_Data4[[#This Row],[Sales_Amount]]/Cleaned_Data4[[#This Row],[Unit_Price]]</f>
        <v>11</v>
      </c>
      <c r="G277" s="6">
        <v>200000</v>
      </c>
      <c r="H277" s="6">
        <v>2200000</v>
      </c>
      <c r="I277" s="6">
        <v>131895.19</v>
      </c>
      <c r="J277" s="6">
        <v>749152.91</v>
      </c>
      <c r="K277" t="s">
        <v>17</v>
      </c>
      <c r="L277" t="s">
        <v>29</v>
      </c>
      <c r="M277" t="s">
        <v>50</v>
      </c>
    </row>
    <row r="278" spans="1:13">
      <c r="A278" s="4" t="s">
        <v>420</v>
      </c>
      <c r="B278" t="s">
        <v>154</v>
      </c>
      <c r="C278" s="2">
        <v>45684</v>
      </c>
      <c r="D278" s="4" t="s">
        <v>45</v>
      </c>
      <c r="E278" s="4" t="s">
        <v>23</v>
      </c>
      <c r="F278" s="6">
        <v>11</v>
      </c>
      <c r="G278" s="6">
        <v>650000</v>
      </c>
      <c r="H278" s="6">
        <v>7150000</v>
      </c>
      <c r="I278" s="6">
        <v>405663.38</v>
      </c>
      <c r="J278" s="6">
        <v>2687702.82</v>
      </c>
      <c r="K278" t="s">
        <v>71</v>
      </c>
      <c r="L278" t="s">
        <v>53</v>
      </c>
      <c r="M278" t="s">
        <v>30</v>
      </c>
    </row>
    <row r="279" spans="1:13">
      <c r="A279" s="4" t="s">
        <v>421</v>
      </c>
      <c r="B279" t="s">
        <v>21</v>
      </c>
      <c r="C279" s="2">
        <v>45844</v>
      </c>
      <c r="D279" s="4" t="s">
        <v>22</v>
      </c>
      <c r="E279" s="4" t="s">
        <v>23</v>
      </c>
      <c r="F279" s="6">
        <v>6</v>
      </c>
      <c r="G279" s="6">
        <v>210000</v>
      </c>
      <c r="H279" s="6">
        <v>1260000</v>
      </c>
      <c r="I279" s="6">
        <v>130299.43</v>
      </c>
      <c r="J279" s="6">
        <v>478203.42</v>
      </c>
      <c r="K279" t="s">
        <v>71</v>
      </c>
      <c r="L279" t="s">
        <v>53</v>
      </c>
      <c r="M279" t="s">
        <v>38</v>
      </c>
    </row>
    <row r="280" spans="1:13">
      <c r="A280" s="4" t="s">
        <v>422</v>
      </c>
      <c r="B280" t="s">
        <v>423</v>
      </c>
      <c r="C280" s="2">
        <v>45673</v>
      </c>
      <c r="D280" s="4" t="s">
        <v>66</v>
      </c>
      <c r="E280" s="4" t="s">
        <v>49</v>
      </c>
      <c r="F280" s="6">
        <v>7</v>
      </c>
      <c r="G280" s="6">
        <v>175000</v>
      </c>
      <c r="H280" s="6">
        <v>1225000</v>
      </c>
      <c r="I280" s="6">
        <v>119419.89</v>
      </c>
      <c r="J280" s="6">
        <v>389060.77</v>
      </c>
      <c r="K280" t="s">
        <v>71</v>
      </c>
      <c r="L280" t="s">
        <v>53</v>
      </c>
      <c r="M280" t="s">
        <v>19</v>
      </c>
    </row>
    <row r="281" spans="1:13">
      <c r="A281" s="4" t="s">
        <v>424</v>
      </c>
      <c r="B281" t="s">
        <v>146</v>
      </c>
      <c r="C281" s="2">
        <v>46005</v>
      </c>
      <c r="D281" s="4" t="s">
        <v>56</v>
      </c>
      <c r="E281" s="4" t="s">
        <v>23</v>
      </c>
      <c r="F281" s="6">
        <v>3</v>
      </c>
      <c r="G281" s="6">
        <v>30000</v>
      </c>
      <c r="H281" s="6">
        <v>90000</v>
      </c>
      <c r="I281" s="6">
        <v>18428.009999999998</v>
      </c>
      <c r="J281" s="6">
        <v>34715.97</v>
      </c>
      <c r="K281" t="s">
        <v>80</v>
      </c>
      <c r="L281" t="s">
        <v>53</v>
      </c>
      <c r="M281" t="s">
        <v>50</v>
      </c>
    </row>
    <row r="282" spans="1:13">
      <c r="A282" s="4" t="s">
        <v>425</v>
      </c>
      <c r="B282" t="s">
        <v>351</v>
      </c>
      <c r="C282" s="2">
        <v>45733</v>
      </c>
      <c r="D282" s="4" t="s">
        <v>45</v>
      </c>
      <c r="E282" s="4" t="s">
        <v>23</v>
      </c>
      <c r="F282" s="6">
        <v>11</v>
      </c>
      <c r="G282" s="6">
        <v>450000</v>
      </c>
      <c r="H282" s="6">
        <v>4950000</v>
      </c>
      <c r="I282" s="6">
        <v>309921.24</v>
      </c>
      <c r="J282" s="6">
        <v>1540866.36</v>
      </c>
      <c r="K282" t="s">
        <v>80</v>
      </c>
      <c r="L282" t="s">
        <v>18</v>
      </c>
      <c r="M282" t="s">
        <v>25</v>
      </c>
    </row>
    <row r="283" spans="1:13">
      <c r="A283" s="4" t="s">
        <v>426</v>
      </c>
      <c r="B283" t="s">
        <v>40</v>
      </c>
      <c r="C283" s="2">
        <v>45815</v>
      </c>
      <c r="D283" s="4" t="s">
        <v>52</v>
      </c>
      <c r="E283" s="4" t="s">
        <v>23</v>
      </c>
      <c r="F283" s="6">
        <v>1</v>
      </c>
      <c r="G283" s="6">
        <v>45000</v>
      </c>
      <c r="H283" s="6">
        <v>45000</v>
      </c>
      <c r="I283" s="6">
        <v>30368.84</v>
      </c>
      <c r="J283" s="6">
        <v>14631.16</v>
      </c>
      <c r="K283" t="s">
        <v>17</v>
      </c>
      <c r="L283" t="s">
        <v>53</v>
      </c>
      <c r="M283" t="s">
        <v>50</v>
      </c>
    </row>
    <row r="284" spans="1:13">
      <c r="A284" s="4" t="s">
        <v>427</v>
      </c>
      <c r="B284" t="s">
        <v>187</v>
      </c>
      <c r="C284" s="2">
        <v>45828</v>
      </c>
      <c r="D284" s="4" t="s">
        <v>106</v>
      </c>
      <c r="E284" s="4" t="s">
        <v>23</v>
      </c>
      <c r="F284" s="6">
        <v>4</v>
      </c>
      <c r="G284" s="6">
        <f>Cleaned_Data4[[#This Row],[Sales_Amount]]/Cleaned_Data4[[#This Row],[Quantity]]</f>
        <v>200000</v>
      </c>
      <c r="H284" s="6">
        <v>800000</v>
      </c>
      <c r="I284" s="6">
        <v>152403.32</v>
      </c>
      <c r="J284" s="6">
        <v>190386.72</v>
      </c>
      <c r="K284" t="s">
        <v>17</v>
      </c>
      <c r="L284" t="s">
        <v>29</v>
      </c>
      <c r="M284" t="s">
        <v>25</v>
      </c>
    </row>
    <row r="285" spans="1:13">
      <c r="A285" s="4" t="s">
        <v>428</v>
      </c>
      <c r="B285" t="s">
        <v>343</v>
      </c>
      <c r="C285" s="2">
        <v>45886</v>
      </c>
      <c r="D285" s="4" t="s">
        <v>106</v>
      </c>
      <c r="E285" s="4" t="s">
        <v>23</v>
      </c>
      <c r="F285" s="6">
        <v>5</v>
      </c>
      <c r="G285" s="6">
        <v>200000</v>
      </c>
      <c r="H285" s="6">
        <v>1000000</v>
      </c>
      <c r="I285" s="6">
        <v>124673.41</v>
      </c>
      <c r="J285" s="6">
        <v>376632.95</v>
      </c>
      <c r="K285" t="s">
        <v>71</v>
      </c>
      <c r="L285" t="s">
        <v>53</v>
      </c>
      <c r="M285" t="s">
        <v>25</v>
      </c>
    </row>
    <row r="286" spans="1:13">
      <c r="A286" s="4" t="s">
        <v>429</v>
      </c>
      <c r="B286" t="s">
        <v>250</v>
      </c>
      <c r="C286" s="2">
        <v>45888</v>
      </c>
      <c r="D286" s="4" t="s">
        <v>52</v>
      </c>
      <c r="E286" s="4" t="s">
        <v>23</v>
      </c>
      <c r="F286" s="6">
        <v>6</v>
      </c>
      <c r="G286" s="6">
        <v>65000</v>
      </c>
      <c r="H286" s="6">
        <v>390000</v>
      </c>
      <c r="I286" s="6">
        <v>44625.45</v>
      </c>
      <c r="J286" s="6">
        <v>122247.3</v>
      </c>
      <c r="K286" t="s">
        <v>33</v>
      </c>
      <c r="L286" t="s">
        <v>53</v>
      </c>
      <c r="M286" t="s">
        <v>25</v>
      </c>
    </row>
    <row r="287" spans="1:13">
      <c r="A287" s="4" t="s">
        <v>430</v>
      </c>
      <c r="B287" t="s">
        <v>335</v>
      </c>
      <c r="C287" s="2">
        <v>45917</v>
      </c>
      <c r="D287" s="4" t="s">
        <v>15</v>
      </c>
      <c r="E287" s="4" t="s">
        <v>16</v>
      </c>
      <c r="F287" s="6">
        <v>2</v>
      </c>
      <c r="G287" s="6">
        <v>12500</v>
      </c>
      <c r="H287" s="6">
        <v>25000</v>
      </c>
      <c r="I287" s="6">
        <v>8145.33</v>
      </c>
      <c r="J287" s="6">
        <v>8709.34</v>
      </c>
      <c r="K287" t="s">
        <v>33</v>
      </c>
      <c r="L287" t="s">
        <v>18</v>
      </c>
      <c r="M287" t="s">
        <v>50</v>
      </c>
    </row>
    <row r="288" spans="1:13">
      <c r="A288" s="4" t="s">
        <v>431</v>
      </c>
      <c r="B288" t="s">
        <v>32</v>
      </c>
      <c r="C288" s="2">
        <v>45738</v>
      </c>
      <c r="D288" s="4" t="s">
        <v>37</v>
      </c>
      <c r="E288" s="4" t="s">
        <v>16</v>
      </c>
      <c r="F288" s="6">
        <v>10</v>
      </c>
      <c r="G288" s="6">
        <v>18000</v>
      </c>
      <c r="H288" s="6">
        <v>180000</v>
      </c>
      <c r="I288" s="6">
        <v>10875.9</v>
      </c>
      <c r="J288" s="6">
        <v>71241</v>
      </c>
      <c r="K288" t="s">
        <v>24</v>
      </c>
      <c r="L288" t="s">
        <v>29</v>
      </c>
      <c r="M288" t="s">
        <v>50</v>
      </c>
    </row>
    <row r="289" spans="1:13">
      <c r="A289" s="4" t="s">
        <v>432</v>
      </c>
      <c r="B289" t="s">
        <v>278</v>
      </c>
      <c r="C289" s="2">
        <v>46006</v>
      </c>
      <c r="D289" s="4" t="s">
        <v>52</v>
      </c>
      <c r="E289" s="4" t="s">
        <v>23</v>
      </c>
      <c r="F289" s="6">
        <v>11</v>
      </c>
      <c r="G289" s="6">
        <v>45000</v>
      </c>
      <c r="H289" s="6">
        <v>495000</v>
      </c>
      <c r="I289" s="6">
        <v>29449.83</v>
      </c>
      <c r="J289" s="6">
        <v>171051.87</v>
      </c>
      <c r="K289" t="s">
        <v>71</v>
      </c>
      <c r="L289" t="s">
        <v>53</v>
      </c>
      <c r="M289" t="s">
        <v>50</v>
      </c>
    </row>
    <row r="290" spans="1:13">
      <c r="A290" s="4" t="s">
        <v>433</v>
      </c>
      <c r="B290" t="s">
        <v>331</v>
      </c>
      <c r="C290" s="2">
        <v>46005</v>
      </c>
      <c r="D290" s="4" t="s">
        <v>48</v>
      </c>
      <c r="E290" s="4" t="s">
        <v>49</v>
      </c>
      <c r="F290" s="6">
        <v>9</v>
      </c>
      <c r="G290" s="6">
        <v>140000</v>
      </c>
      <c r="H290" s="6">
        <v>1260000</v>
      </c>
      <c r="I290" s="6">
        <v>96386.47</v>
      </c>
      <c r="J290" s="6">
        <v>392521.77</v>
      </c>
      <c r="K290" t="s">
        <v>17</v>
      </c>
      <c r="L290" t="s">
        <v>53</v>
      </c>
      <c r="M290" t="s">
        <v>30</v>
      </c>
    </row>
    <row r="291" spans="1:13">
      <c r="A291" s="4" t="s">
        <v>434</v>
      </c>
      <c r="B291" t="s">
        <v>231</v>
      </c>
      <c r="C291" s="2">
        <v>45943</v>
      </c>
      <c r="D291" s="4" t="s">
        <v>28</v>
      </c>
      <c r="E291" s="4" t="s">
        <v>23</v>
      </c>
      <c r="F291" s="6">
        <v>11</v>
      </c>
      <c r="G291" s="6">
        <v>220000</v>
      </c>
      <c r="H291" s="6">
        <v>2420000</v>
      </c>
      <c r="I291" s="6">
        <v>142602.96</v>
      </c>
      <c r="J291" s="6">
        <v>851367.44</v>
      </c>
      <c r="K291" t="s">
        <v>33</v>
      </c>
      <c r="L291" t="s">
        <v>53</v>
      </c>
      <c r="M291" t="s">
        <v>19</v>
      </c>
    </row>
    <row r="292" spans="1:13">
      <c r="A292" s="4" t="s">
        <v>435</v>
      </c>
      <c r="B292" t="s">
        <v>79</v>
      </c>
      <c r="C292" s="2">
        <v>45809</v>
      </c>
      <c r="D292" s="4" t="s">
        <v>63</v>
      </c>
      <c r="E292" s="4" t="s">
        <v>16</v>
      </c>
      <c r="F292" s="6">
        <v>10</v>
      </c>
      <c r="G292" s="6">
        <v>7000</v>
      </c>
      <c r="H292" s="6">
        <v>70000</v>
      </c>
      <c r="I292" s="6">
        <v>5332.24</v>
      </c>
      <c r="J292" s="6">
        <v>16677.599999999999</v>
      </c>
      <c r="K292" t="s">
        <v>33</v>
      </c>
      <c r="L292" t="s">
        <v>18</v>
      </c>
      <c r="M292" t="s">
        <v>30</v>
      </c>
    </row>
    <row r="293" spans="1:13">
      <c r="A293" s="4" t="s">
        <v>436</v>
      </c>
      <c r="B293" t="s">
        <v>84</v>
      </c>
      <c r="C293" s="2">
        <v>45994</v>
      </c>
      <c r="D293" s="4" t="s">
        <v>70</v>
      </c>
      <c r="E293" s="4" t="s">
        <v>16</v>
      </c>
      <c r="F293" s="6">
        <v>8</v>
      </c>
      <c r="G293" s="6">
        <v>35000</v>
      </c>
      <c r="H293" s="6">
        <v>280000</v>
      </c>
      <c r="I293" s="6">
        <v>25541.35</v>
      </c>
      <c r="J293" s="6">
        <v>75669.2</v>
      </c>
      <c r="K293" t="s">
        <v>24</v>
      </c>
      <c r="L293" t="s">
        <v>53</v>
      </c>
      <c r="M293" t="s">
        <v>19</v>
      </c>
    </row>
    <row r="294" spans="1:13">
      <c r="A294" s="4" t="s">
        <v>437</v>
      </c>
      <c r="B294" t="s">
        <v>391</v>
      </c>
      <c r="C294" s="2">
        <v>45785</v>
      </c>
      <c r="D294" s="4" t="s">
        <v>56</v>
      </c>
      <c r="E294" s="4" t="s">
        <v>23</v>
      </c>
      <c r="F294" s="6">
        <v>7</v>
      </c>
      <c r="G294" s="6">
        <v>45000</v>
      </c>
      <c r="H294" s="6">
        <v>315000</v>
      </c>
      <c r="I294" s="6">
        <v>28769.35</v>
      </c>
      <c r="J294" s="6">
        <v>113614.55</v>
      </c>
      <c r="K294" t="s">
        <v>71</v>
      </c>
      <c r="L294" t="s">
        <v>29</v>
      </c>
      <c r="M294" t="s">
        <v>38</v>
      </c>
    </row>
    <row r="295" spans="1:13">
      <c r="A295" s="4" t="s">
        <v>438</v>
      </c>
      <c r="B295" t="s">
        <v>44</v>
      </c>
      <c r="C295" s="2">
        <v>45980</v>
      </c>
      <c r="D295" s="4" t="s">
        <v>22</v>
      </c>
      <c r="E295" s="4" t="s">
        <v>23</v>
      </c>
      <c r="F295" s="6">
        <v>10</v>
      </c>
      <c r="G295" s="6">
        <v>280000</v>
      </c>
      <c r="H295" s="6">
        <v>2800000</v>
      </c>
      <c r="I295" s="6">
        <v>200964.65</v>
      </c>
      <c r="J295" s="6">
        <v>790353.5</v>
      </c>
      <c r="K295" t="s">
        <v>80</v>
      </c>
      <c r="L295" t="s">
        <v>53</v>
      </c>
      <c r="M295" t="s">
        <v>30</v>
      </c>
    </row>
    <row r="296" spans="1:13">
      <c r="A296" s="4" t="s">
        <v>439</v>
      </c>
      <c r="B296" t="s">
        <v>156</v>
      </c>
      <c r="C296" s="2">
        <v>46018</v>
      </c>
      <c r="D296" s="4" t="s">
        <v>15</v>
      </c>
      <c r="E296" s="4" t="s">
        <v>16</v>
      </c>
      <c r="F296" s="6">
        <v>10</v>
      </c>
      <c r="G296" s="6">
        <v>12500</v>
      </c>
      <c r="H296" s="6">
        <v>125000</v>
      </c>
      <c r="I296" s="6">
        <v>9138.41</v>
      </c>
      <c r="J296" s="6">
        <v>33615.9</v>
      </c>
      <c r="K296" t="s">
        <v>80</v>
      </c>
      <c r="L296" t="s">
        <v>18</v>
      </c>
      <c r="M296" t="s">
        <v>19</v>
      </c>
    </row>
    <row r="297" spans="1:13">
      <c r="A297" s="4" t="s">
        <v>440</v>
      </c>
      <c r="B297" t="s">
        <v>278</v>
      </c>
      <c r="C297" s="2">
        <v>45930</v>
      </c>
      <c r="D297" s="4" t="s">
        <v>28</v>
      </c>
      <c r="E297" s="4" t="s">
        <v>23</v>
      </c>
      <c r="F297" s="6">
        <v>11</v>
      </c>
      <c r="G297" s="6">
        <v>220000</v>
      </c>
      <c r="H297" s="6">
        <v>2420000</v>
      </c>
      <c r="I297" s="6">
        <v>178086.5</v>
      </c>
      <c r="J297" s="6">
        <v>461048.5</v>
      </c>
      <c r="K297" t="s">
        <v>33</v>
      </c>
      <c r="L297" t="s">
        <v>18</v>
      </c>
      <c r="M297" t="s">
        <v>34</v>
      </c>
    </row>
    <row r="298" spans="1:13">
      <c r="A298" s="4" t="s">
        <v>441</v>
      </c>
      <c r="B298" t="s">
        <v>129</v>
      </c>
      <c r="C298" s="2">
        <v>45727</v>
      </c>
      <c r="D298" s="4" t="s">
        <v>48</v>
      </c>
      <c r="E298" s="4" t="s">
        <v>49</v>
      </c>
      <c r="F298" s="6">
        <v>7</v>
      </c>
      <c r="G298" s="6">
        <v>140000</v>
      </c>
      <c r="H298" s="6">
        <v>980000</v>
      </c>
      <c r="I298" s="6">
        <v>93665.99</v>
      </c>
      <c r="J298" s="6">
        <v>324338.07</v>
      </c>
      <c r="K298" t="s">
        <v>33</v>
      </c>
      <c r="L298" t="s">
        <v>29</v>
      </c>
      <c r="M298" t="s">
        <v>25</v>
      </c>
    </row>
    <row r="299" spans="1:13">
      <c r="A299" s="4" t="s">
        <v>442</v>
      </c>
      <c r="B299" t="s">
        <v>149</v>
      </c>
      <c r="C299" s="2">
        <v>45971</v>
      </c>
      <c r="D299" s="4" t="s">
        <v>52</v>
      </c>
      <c r="E299" s="4" t="s">
        <v>23</v>
      </c>
      <c r="F299" s="6">
        <v>7</v>
      </c>
      <c r="G299" s="6">
        <v>45000</v>
      </c>
      <c r="H299" s="6">
        <v>315000</v>
      </c>
      <c r="I299" s="6">
        <v>26268.81</v>
      </c>
      <c r="J299" s="6">
        <v>131118.32999999999</v>
      </c>
      <c r="K299" t="s">
        <v>17</v>
      </c>
      <c r="L299" t="s">
        <v>53</v>
      </c>
      <c r="M299" t="s">
        <v>67</v>
      </c>
    </row>
    <row r="300" spans="1:13">
      <c r="A300" s="4" t="s">
        <v>443</v>
      </c>
      <c r="B300" t="s">
        <v>47</v>
      </c>
      <c r="C300" s="2">
        <v>45709</v>
      </c>
      <c r="D300" s="4" t="s">
        <v>37</v>
      </c>
      <c r="E300" s="4" t="s">
        <v>16</v>
      </c>
      <c r="F300" s="6">
        <f>Cleaned_Data4[[#This Row],[Sales_Amount]]/Cleaned_Data4[[#This Row],[Unit_Price]]</f>
        <v>12</v>
      </c>
      <c r="G300" s="6">
        <v>18000</v>
      </c>
      <c r="H300" s="6">
        <v>216000</v>
      </c>
      <c r="I300" s="6">
        <v>13913.66</v>
      </c>
      <c r="J300" s="6">
        <v>49036.08</v>
      </c>
      <c r="K300" t="s">
        <v>80</v>
      </c>
      <c r="L300" t="s">
        <v>29</v>
      </c>
      <c r="M300" t="s">
        <v>50</v>
      </c>
    </row>
    <row r="301" spans="1:13">
      <c r="A301" s="4" t="s">
        <v>444</v>
      </c>
      <c r="B301" t="s">
        <v>187</v>
      </c>
      <c r="C301" s="2">
        <v>45850</v>
      </c>
      <c r="D301" s="4" t="s">
        <v>48</v>
      </c>
      <c r="E301" s="4" t="s">
        <v>49</v>
      </c>
      <c r="F301" s="6">
        <v>6</v>
      </c>
      <c r="G301" s="6">
        <v>100000</v>
      </c>
      <c r="H301" s="6">
        <v>600000</v>
      </c>
      <c r="I301" s="6">
        <v>69031.92</v>
      </c>
      <c r="J301" s="6">
        <v>185808.48</v>
      </c>
      <c r="K301" t="s">
        <v>24</v>
      </c>
      <c r="L301" t="s">
        <v>18</v>
      </c>
      <c r="M301" t="s">
        <v>19</v>
      </c>
    </row>
    <row r="302" spans="1:13">
      <c r="A302" s="4" t="s">
        <v>445</v>
      </c>
      <c r="B302" t="s">
        <v>109</v>
      </c>
      <c r="C302" s="2">
        <v>45694</v>
      </c>
      <c r="D302" s="4" t="s">
        <v>28</v>
      </c>
      <c r="E302" s="4" t="s">
        <v>23</v>
      </c>
      <c r="F302" s="6">
        <v>10</v>
      </c>
      <c r="G302" s="6">
        <v>300000</v>
      </c>
      <c r="H302" s="6">
        <v>3000000</v>
      </c>
      <c r="I302" s="6">
        <v>192042.94</v>
      </c>
      <c r="J302" s="6">
        <v>1079570.6000000001</v>
      </c>
      <c r="K302" t="s">
        <v>17</v>
      </c>
      <c r="L302" t="s">
        <v>29</v>
      </c>
      <c r="M302" t="s">
        <v>50</v>
      </c>
    </row>
    <row r="303" spans="1:13">
      <c r="A303" s="4" t="s">
        <v>446</v>
      </c>
      <c r="B303" t="s">
        <v>219</v>
      </c>
      <c r="C303" s="2">
        <v>45917</v>
      </c>
      <c r="D303" s="4" t="s">
        <v>22</v>
      </c>
      <c r="E303" s="4" t="s">
        <v>23</v>
      </c>
      <c r="F303" s="6">
        <v>4</v>
      </c>
      <c r="G303" s="6">
        <v>150000</v>
      </c>
      <c r="H303" s="6">
        <v>600000</v>
      </c>
      <c r="I303" s="6">
        <v>110642.51</v>
      </c>
      <c r="J303" s="6">
        <v>157429.96</v>
      </c>
      <c r="K303" t="s">
        <v>17</v>
      </c>
      <c r="L303" t="s">
        <v>29</v>
      </c>
      <c r="M303" t="s">
        <v>34</v>
      </c>
    </row>
    <row r="304" spans="1:13">
      <c r="A304" s="4" t="s">
        <v>447</v>
      </c>
      <c r="B304" t="s">
        <v>82</v>
      </c>
      <c r="C304" s="2">
        <v>45884</v>
      </c>
      <c r="D304" s="4" t="s">
        <v>28</v>
      </c>
      <c r="E304" s="4" t="s">
        <v>23</v>
      </c>
      <c r="F304" s="6">
        <v>5</v>
      </c>
      <c r="G304" s="6">
        <v>220000</v>
      </c>
      <c r="H304" s="6">
        <v>1100000</v>
      </c>
      <c r="I304" s="6">
        <v>149364.35999999999</v>
      </c>
      <c r="J304" s="6">
        <v>353178.2</v>
      </c>
      <c r="K304" t="s">
        <v>24</v>
      </c>
      <c r="L304" t="s">
        <v>53</v>
      </c>
      <c r="M304" t="s">
        <v>67</v>
      </c>
    </row>
    <row r="305" spans="1:13">
      <c r="A305" s="4" t="s">
        <v>448</v>
      </c>
      <c r="B305" t="s">
        <v>73</v>
      </c>
      <c r="C305" s="2">
        <v>45789</v>
      </c>
      <c r="D305" s="4" t="s">
        <v>15</v>
      </c>
      <c r="E305" s="4" t="s">
        <v>16</v>
      </c>
      <c r="F305" s="6">
        <v>4</v>
      </c>
      <c r="G305" s="6">
        <v>8000</v>
      </c>
      <c r="H305" s="6">
        <v>32000</v>
      </c>
      <c r="I305" s="6">
        <v>5796.61</v>
      </c>
      <c r="J305" s="6">
        <v>8813.56</v>
      </c>
      <c r="K305" t="s">
        <v>17</v>
      </c>
      <c r="L305" t="s">
        <v>53</v>
      </c>
      <c r="M305" t="s">
        <v>34</v>
      </c>
    </row>
    <row r="306" spans="1:13">
      <c r="A306" s="4" t="s">
        <v>449</v>
      </c>
      <c r="B306" t="s">
        <v>450</v>
      </c>
      <c r="C306" s="2">
        <v>45684</v>
      </c>
      <c r="D306" s="4" t="s">
        <v>28</v>
      </c>
      <c r="E306" s="4" t="s">
        <v>23</v>
      </c>
      <c r="F306" s="6">
        <v>3</v>
      </c>
      <c r="G306" s="6">
        <v>220000</v>
      </c>
      <c r="H306" s="6">
        <v>660000</v>
      </c>
      <c r="I306" s="6">
        <v>148653.73000000001</v>
      </c>
      <c r="J306" s="6">
        <v>214038.81</v>
      </c>
      <c r="K306" t="s">
        <v>80</v>
      </c>
      <c r="L306" t="s">
        <v>18</v>
      </c>
      <c r="M306" t="s">
        <v>34</v>
      </c>
    </row>
    <row r="307" spans="1:13">
      <c r="A307" s="4" t="s">
        <v>451</v>
      </c>
      <c r="B307" t="s">
        <v>47</v>
      </c>
      <c r="C307" s="2">
        <v>45879</v>
      </c>
      <c r="D307" s="4" t="s">
        <v>52</v>
      </c>
      <c r="E307" s="4" t="s">
        <v>23</v>
      </c>
      <c r="F307" s="6">
        <v>2</v>
      </c>
      <c r="G307" s="6">
        <v>45000</v>
      </c>
      <c r="H307" s="6">
        <v>90000</v>
      </c>
      <c r="I307" s="6">
        <v>33417.699999999997</v>
      </c>
      <c r="J307" s="6">
        <v>23164.6</v>
      </c>
      <c r="K307" t="s">
        <v>17</v>
      </c>
      <c r="L307" t="s">
        <v>29</v>
      </c>
      <c r="M307" t="s">
        <v>34</v>
      </c>
    </row>
    <row r="308" spans="1:13">
      <c r="A308" s="4" t="s">
        <v>452</v>
      </c>
      <c r="B308" t="s">
        <v>40</v>
      </c>
      <c r="C308" s="2">
        <v>45839</v>
      </c>
      <c r="D308" s="4" t="s">
        <v>66</v>
      </c>
      <c r="E308" s="4" t="s">
        <v>49</v>
      </c>
      <c r="F308" s="6">
        <v>10</v>
      </c>
      <c r="G308" s="6">
        <v>175000</v>
      </c>
      <c r="H308" s="6">
        <v>1750000</v>
      </c>
      <c r="I308" s="6">
        <v>142122.81</v>
      </c>
      <c r="J308" s="6">
        <v>328771.90000000002</v>
      </c>
      <c r="K308" t="s">
        <v>17</v>
      </c>
      <c r="L308" t="s">
        <v>53</v>
      </c>
      <c r="M308" t="s">
        <v>19</v>
      </c>
    </row>
    <row r="309" spans="1:13">
      <c r="A309" s="4" t="s">
        <v>453</v>
      </c>
      <c r="B309" t="s">
        <v>14</v>
      </c>
      <c r="C309" s="2">
        <v>45791</v>
      </c>
      <c r="D309" s="4" t="s">
        <v>15</v>
      </c>
      <c r="E309" s="4" t="s">
        <v>16</v>
      </c>
      <c r="F309" s="6">
        <v>12</v>
      </c>
      <c r="G309" s="6">
        <v>8000</v>
      </c>
      <c r="H309" s="6">
        <v>96000</v>
      </c>
      <c r="I309" s="6">
        <v>5571.04</v>
      </c>
      <c r="J309" s="6">
        <v>29147.52</v>
      </c>
      <c r="K309" t="s">
        <v>17</v>
      </c>
      <c r="L309" t="s">
        <v>29</v>
      </c>
      <c r="M309" t="s">
        <v>67</v>
      </c>
    </row>
    <row r="310" spans="1:13">
      <c r="A310" s="4" t="s">
        <v>454</v>
      </c>
      <c r="B310" t="s">
        <v>27</v>
      </c>
      <c r="C310" s="2">
        <v>45988</v>
      </c>
      <c r="D310" s="4" t="s">
        <v>56</v>
      </c>
      <c r="E310" s="4" t="s">
        <v>23</v>
      </c>
      <c r="F310" s="6">
        <v>4</v>
      </c>
      <c r="G310" s="6">
        <v>30000</v>
      </c>
      <c r="H310" s="6">
        <v>120000</v>
      </c>
      <c r="I310" s="6">
        <v>18259.349999999999</v>
      </c>
      <c r="J310" s="6">
        <v>46962.6</v>
      </c>
      <c r="K310" t="s">
        <v>80</v>
      </c>
      <c r="L310" t="s">
        <v>53</v>
      </c>
      <c r="M310" t="s">
        <v>25</v>
      </c>
    </row>
    <row r="311" spans="1:13">
      <c r="A311" s="4" t="s">
        <v>455</v>
      </c>
      <c r="B311" t="s">
        <v>308</v>
      </c>
      <c r="C311" s="2">
        <v>45952</v>
      </c>
      <c r="D311" s="4" t="s">
        <v>15</v>
      </c>
      <c r="E311" s="4" t="s">
        <v>16</v>
      </c>
      <c r="F311" s="6">
        <v>1</v>
      </c>
      <c r="G311" s="6">
        <v>12500</v>
      </c>
      <c r="H311" s="6">
        <v>12500</v>
      </c>
      <c r="I311" s="6">
        <v>10190.14</v>
      </c>
      <c r="J311" s="6">
        <v>2309.86</v>
      </c>
      <c r="K311" t="s">
        <v>33</v>
      </c>
      <c r="L311" t="s">
        <v>29</v>
      </c>
      <c r="M311" t="s">
        <v>30</v>
      </c>
    </row>
    <row r="312" spans="1:13">
      <c r="A312" s="4" t="s">
        <v>456</v>
      </c>
      <c r="B312" t="s">
        <v>415</v>
      </c>
      <c r="C312" s="2">
        <v>45999</v>
      </c>
      <c r="D312" s="4" t="s">
        <v>66</v>
      </c>
      <c r="E312" s="4" t="s">
        <v>49</v>
      </c>
      <c r="F312" s="6">
        <v>9</v>
      </c>
      <c r="G312" s="6">
        <v>175000</v>
      </c>
      <c r="H312" s="6">
        <v>1575000</v>
      </c>
      <c r="I312" s="6">
        <v>126509</v>
      </c>
      <c r="J312" s="6">
        <v>436419</v>
      </c>
      <c r="K312" t="s">
        <v>80</v>
      </c>
      <c r="L312" t="s">
        <v>18</v>
      </c>
      <c r="M312" t="s">
        <v>34</v>
      </c>
    </row>
    <row r="313" spans="1:13">
      <c r="A313" s="4" t="s">
        <v>457</v>
      </c>
      <c r="B313" t="s">
        <v>294</v>
      </c>
      <c r="C313" s="2">
        <v>45952</v>
      </c>
      <c r="D313" s="4" t="s">
        <v>63</v>
      </c>
      <c r="E313" s="4" t="s">
        <v>16</v>
      </c>
      <c r="F313" s="6">
        <f>Cleaned_Data4[[#This Row],[Sales_Amount]]/Cleaned_Data4[[#This Row],[Unit_Price]]</f>
        <v>3</v>
      </c>
      <c r="G313" s="6">
        <v>5000</v>
      </c>
      <c r="H313" s="6">
        <v>15000</v>
      </c>
      <c r="I313" s="6">
        <v>3212.49</v>
      </c>
      <c r="J313" s="6">
        <v>5362.53</v>
      </c>
      <c r="K313" t="s">
        <v>71</v>
      </c>
      <c r="L313" t="s">
        <v>18</v>
      </c>
      <c r="M313" t="s">
        <v>38</v>
      </c>
    </row>
    <row r="314" spans="1:13">
      <c r="A314" s="4" t="s">
        <v>458</v>
      </c>
      <c r="B314" t="s">
        <v>125</v>
      </c>
      <c r="C314" s="2">
        <v>45955</v>
      </c>
      <c r="D314" s="4" t="s">
        <v>45</v>
      </c>
      <c r="E314" s="4" t="s">
        <v>23</v>
      </c>
      <c r="F314" s="6">
        <v>3</v>
      </c>
      <c r="G314" s="6">
        <v>520000</v>
      </c>
      <c r="H314" s="6">
        <v>1560000</v>
      </c>
      <c r="I314" s="6">
        <v>322799.34000000003</v>
      </c>
      <c r="J314" s="6">
        <v>591601.98</v>
      </c>
      <c r="K314" t="s">
        <v>24</v>
      </c>
      <c r="L314" t="s">
        <v>29</v>
      </c>
      <c r="M314" t="s">
        <v>50</v>
      </c>
    </row>
    <row r="315" spans="1:13">
      <c r="A315" s="4" t="s">
        <v>459</v>
      </c>
      <c r="B315" t="s">
        <v>133</v>
      </c>
      <c r="C315" s="2">
        <v>45681</v>
      </c>
      <c r="D315" s="4" t="s">
        <v>48</v>
      </c>
      <c r="E315" s="4" t="s">
        <v>49</v>
      </c>
      <c r="F315" s="6">
        <v>7</v>
      </c>
      <c r="G315" s="6">
        <v>100000</v>
      </c>
      <c r="H315" s="6">
        <v>700000</v>
      </c>
      <c r="I315" s="6">
        <v>79047.789999999994</v>
      </c>
      <c r="J315" s="6">
        <v>146665.47</v>
      </c>
      <c r="K315" t="s">
        <v>24</v>
      </c>
      <c r="L315" t="s">
        <v>29</v>
      </c>
      <c r="M315" t="s">
        <v>67</v>
      </c>
    </row>
    <row r="316" spans="1:13">
      <c r="A316" s="4" t="s">
        <v>460</v>
      </c>
      <c r="B316" t="s">
        <v>208</v>
      </c>
      <c r="C316" s="2">
        <v>45742</v>
      </c>
      <c r="D316" s="4" t="s">
        <v>28</v>
      </c>
      <c r="E316" s="4" t="s">
        <v>23</v>
      </c>
      <c r="F316" s="6">
        <v>8</v>
      </c>
      <c r="G316" s="6">
        <v>220000</v>
      </c>
      <c r="H316" s="6">
        <v>1760000</v>
      </c>
      <c r="I316" s="6">
        <v>144180.96</v>
      </c>
      <c r="J316" s="6">
        <v>606552.31999999995</v>
      </c>
      <c r="K316" t="s">
        <v>33</v>
      </c>
      <c r="L316" t="s">
        <v>29</v>
      </c>
      <c r="M316" t="s">
        <v>34</v>
      </c>
    </row>
    <row r="317" spans="1:13">
      <c r="A317" s="4" t="s">
        <v>461</v>
      </c>
      <c r="B317" t="s">
        <v>21</v>
      </c>
      <c r="C317" s="2">
        <v>45921</v>
      </c>
      <c r="D317" s="4" t="s">
        <v>22</v>
      </c>
      <c r="E317" s="4" t="s">
        <v>23</v>
      </c>
      <c r="F317" s="6">
        <v>3</v>
      </c>
      <c r="G317" s="6">
        <v>210000</v>
      </c>
      <c r="H317" s="6">
        <v>630000</v>
      </c>
      <c r="I317" s="6">
        <v>168740.98</v>
      </c>
      <c r="J317" s="6">
        <v>123777.06</v>
      </c>
      <c r="K317" t="s">
        <v>71</v>
      </c>
      <c r="L317" t="s">
        <v>29</v>
      </c>
      <c r="M317" t="s">
        <v>25</v>
      </c>
    </row>
    <row r="318" spans="1:13">
      <c r="A318" s="4" t="s">
        <v>462</v>
      </c>
      <c r="B318" t="s">
        <v>151</v>
      </c>
      <c r="C318" s="2">
        <v>45837</v>
      </c>
      <c r="D318" s="4" t="s">
        <v>28</v>
      </c>
      <c r="E318" s="4" t="s">
        <v>23</v>
      </c>
      <c r="F318" s="6">
        <v>11</v>
      </c>
      <c r="G318" s="6">
        <v>300000</v>
      </c>
      <c r="H318" s="6">
        <v>3300000</v>
      </c>
      <c r="I318" s="6">
        <v>188324.98</v>
      </c>
      <c r="J318" s="6">
        <v>1228425.22</v>
      </c>
      <c r="K318" t="s">
        <v>33</v>
      </c>
      <c r="L318" t="s">
        <v>53</v>
      </c>
      <c r="M318" t="s">
        <v>34</v>
      </c>
    </row>
    <row r="319" spans="1:13">
      <c r="A319" s="4" t="s">
        <v>463</v>
      </c>
      <c r="B319" t="s">
        <v>391</v>
      </c>
      <c r="C319" s="2">
        <v>45888</v>
      </c>
      <c r="D319" s="4" t="s">
        <v>70</v>
      </c>
      <c r="E319" s="4" t="s">
        <v>16</v>
      </c>
      <c r="F319" s="6">
        <v>6</v>
      </c>
      <c r="G319" s="6">
        <v>22000</v>
      </c>
      <c r="H319" s="6">
        <v>132000</v>
      </c>
      <c r="I319" s="6">
        <v>15096.7</v>
      </c>
      <c r="J319" s="6">
        <v>41419.800000000003</v>
      </c>
      <c r="K319" t="s">
        <v>17</v>
      </c>
      <c r="L319" t="s">
        <v>53</v>
      </c>
      <c r="M319" t="s">
        <v>25</v>
      </c>
    </row>
    <row r="320" spans="1:13">
      <c r="A320" s="4" t="s">
        <v>464</v>
      </c>
      <c r="B320" t="s">
        <v>196</v>
      </c>
      <c r="C320" s="2">
        <v>45832</v>
      </c>
      <c r="D320" s="4" t="s">
        <v>37</v>
      </c>
      <c r="E320" s="4" t="s">
        <v>16</v>
      </c>
      <c r="F320" s="6">
        <v>1</v>
      </c>
      <c r="G320" s="6">
        <v>18000</v>
      </c>
      <c r="H320" s="6">
        <v>18000</v>
      </c>
      <c r="I320" s="6">
        <v>12685</v>
      </c>
      <c r="J320" s="6">
        <v>5315</v>
      </c>
      <c r="K320" t="s">
        <v>17</v>
      </c>
      <c r="L320" t="s">
        <v>18</v>
      </c>
      <c r="M320" t="s">
        <v>25</v>
      </c>
    </row>
    <row r="321" spans="1:13">
      <c r="A321" s="4" t="s">
        <v>465</v>
      </c>
      <c r="B321" t="s">
        <v>321</v>
      </c>
      <c r="C321" s="2">
        <v>45698</v>
      </c>
      <c r="D321" s="4" t="s">
        <v>22</v>
      </c>
      <c r="E321" s="4" t="s">
        <v>23</v>
      </c>
      <c r="F321" s="6">
        <v>2</v>
      </c>
      <c r="G321" s="6">
        <f>Cleaned_Data4[[#This Row],[Sales_Amount]]/Cleaned_Data4[[#This Row],[Quantity]]</f>
        <v>280000</v>
      </c>
      <c r="H321" s="6">
        <v>560000</v>
      </c>
      <c r="I321" s="6">
        <v>195058.56</v>
      </c>
      <c r="J321" s="6">
        <v>169882.88</v>
      </c>
      <c r="K321" t="s">
        <v>33</v>
      </c>
      <c r="L321" t="s">
        <v>53</v>
      </c>
      <c r="M321" t="s">
        <v>50</v>
      </c>
    </row>
    <row r="322" spans="1:13">
      <c r="A322" s="4" t="s">
        <v>466</v>
      </c>
      <c r="B322" t="s">
        <v>86</v>
      </c>
      <c r="C322" s="2">
        <v>45734</v>
      </c>
      <c r="D322" s="4" t="s">
        <v>70</v>
      </c>
      <c r="E322" s="4" t="s">
        <v>16</v>
      </c>
      <c r="F322" s="6">
        <v>10</v>
      </c>
      <c r="G322" s="6">
        <v>15000</v>
      </c>
      <c r="H322" s="6">
        <v>150000</v>
      </c>
      <c r="I322" s="6">
        <v>9338.7199999999993</v>
      </c>
      <c r="J322" s="6">
        <v>56612.800000000003</v>
      </c>
      <c r="K322" t="s">
        <v>33</v>
      </c>
      <c r="L322" t="s">
        <v>53</v>
      </c>
      <c r="M322" t="s">
        <v>34</v>
      </c>
    </row>
    <row r="323" spans="1:13">
      <c r="A323" s="4" t="s">
        <v>467</v>
      </c>
      <c r="B323" t="s">
        <v>135</v>
      </c>
      <c r="C323" s="2">
        <v>46004</v>
      </c>
      <c r="D323" s="4" t="s">
        <v>22</v>
      </c>
      <c r="E323" s="4" t="s">
        <v>23</v>
      </c>
      <c r="F323" s="6">
        <v>6</v>
      </c>
      <c r="G323" s="6">
        <v>210000</v>
      </c>
      <c r="H323" s="6">
        <v>1260000</v>
      </c>
      <c r="I323" s="6">
        <v>137952.32999999999</v>
      </c>
      <c r="J323" s="6">
        <v>432286.02</v>
      </c>
      <c r="K323" t="s">
        <v>33</v>
      </c>
      <c r="L323" t="s">
        <v>53</v>
      </c>
      <c r="M323" t="s">
        <v>50</v>
      </c>
    </row>
    <row r="324" spans="1:13">
      <c r="A324" s="4" t="s">
        <v>468</v>
      </c>
      <c r="B324" t="s">
        <v>308</v>
      </c>
      <c r="C324" s="2">
        <v>45975</v>
      </c>
      <c r="D324" s="4" t="s">
        <v>63</v>
      </c>
      <c r="E324" s="4" t="s">
        <v>16</v>
      </c>
      <c r="F324" s="6">
        <v>4</v>
      </c>
      <c r="G324" s="6">
        <v>5000</v>
      </c>
      <c r="H324" s="6">
        <v>20000</v>
      </c>
      <c r="I324" s="6">
        <v>3765.2</v>
      </c>
      <c r="J324" s="6">
        <v>4939.2</v>
      </c>
      <c r="K324" t="s">
        <v>33</v>
      </c>
      <c r="L324" t="s">
        <v>29</v>
      </c>
      <c r="M324" t="s">
        <v>50</v>
      </c>
    </row>
    <row r="325" spans="1:13">
      <c r="A325" s="4" t="s">
        <v>469</v>
      </c>
      <c r="B325" t="s">
        <v>325</v>
      </c>
      <c r="C325" s="2">
        <v>45871</v>
      </c>
      <c r="D325" s="4" t="s">
        <v>45</v>
      </c>
      <c r="E325" s="4" t="s">
        <v>23</v>
      </c>
      <c r="F325" s="6">
        <v>1</v>
      </c>
      <c r="G325" s="6">
        <v>450000</v>
      </c>
      <c r="H325" s="6">
        <v>450000</v>
      </c>
      <c r="I325" s="6">
        <v>368057.54</v>
      </c>
      <c r="J325" s="6">
        <v>81942.460000000006</v>
      </c>
      <c r="K325" t="s">
        <v>33</v>
      </c>
      <c r="L325" t="s">
        <v>53</v>
      </c>
      <c r="M325" t="s">
        <v>30</v>
      </c>
    </row>
    <row r="326" spans="1:13">
      <c r="A326" s="4" t="s">
        <v>470</v>
      </c>
      <c r="B326" t="s">
        <v>222</v>
      </c>
      <c r="C326" s="2">
        <v>45782</v>
      </c>
      <c r="D326" s="4" t="s">
        <v>52</v>
      </c>
      <c r="E326" s="4" t="s">
        <v>23</v>
      </c>
      <c r="F326" s="6">
        <v>1</v>
      </c>
      <c r="G326" s="6">
        <v>85000</v>
      </c>
      <c r="H326" s="6">
        <v>85000</v>
      </c>
      <c r="I326" s="6">
        <v>68643.39</v>
      </c>
      <c r="J326" s="6">
        <v>16356.61</v>
      </c>
      <c r="K326" t="s">
        <v>71</v>
      </c>
      <c r="L326" t="s">
        <v>53</v>
      </c>
      <c r="M326" t="s">
        <v>30</v>
      </c>
    </row>
    <row r="327" spans="1:13">
      <c r="A327" s="4" t="s">
        <v>471</v>
      </c>
      <c r="B327" t="s">
        <v>151</v>
      </c>
      <c r="C327" s="2">
        <v>45844</v>
      </c>
      <c r="D327" s="4" t="s">
        <v>63</v>
      </c>
      <c r="E327" s="4" t="s">
        <v>16</v>
      </c>
      <c r="F327" s="6">
        <v>7</v>
      </c>
      <c r="G327" s="6">
        <v>5000</v>
      </c>
      <c r="H327" s="6">
        <v>35000</v>
      </c>
      <c r="I327" s="6">
        <v>3440.87</v>
      </c>
      <c r="J327" s="6">
        <v>10913.91</v>
      </c>
      <c r="K327" t="s">
        <v>71</v>
      </c>
      <c r="L327" t="s">
        <v>18</v>
      </c>
      <c r="M327" t="s">
        <v>38</v>
      </c>
    </row>
    <row r="328" spans="1:13">
      <c r="A328" s="4" t="s">
        <v>472</v>
      </c>
      <c r="B328" t="s">
        <v>92</v>
      </c>
      <c r="C328" s="2">
        <v>45834</v>
      </c>
      <c r="D328" s="4" t="s">
        <v>70</v>
      </c>
      <c r="E328" s="4" t="s">
        <v>16</v>
      </c>
      <c r="F328" s="6">
        <v>2</v>
      </c>
      <c r="G328" s="6">
        <v>35000</v>
      </c>
      <c r="H328" s="6">
        <v>70000</v>
      </c>
      <c r="I328" s="6">
        <v>20368.2</v>
      </c>
      <c r="J328" s="6">
        <v>29263.599999999999</v>
      </c>
      <c r="K328" t="s">
        <v>80</v>
      </c>
      <c r="L328" t="s">
        <v>53</v>
      </c>
      <c r="M328" t="s">
        <v>34</v>
      </c>
    </row>
    <row r="329" spans="1:13">
      <c r="A329" s="4" t="s">
        <v>473</v>
      </c>
      <c r="B329" t="s">
        <v>73</v>
      </c>
      <c r="C329" s="2">
        <v>45756</v>
      </c>
      <c r="D329" s="4" t="s">
        <v>28</v>
      </c>
      <c r="E329" s="4" t="s">
        <v>23</v>
      </c>
      <c r="F329" s="6">
        <v>6</v>
      </c>
      <c r="G329" s="6">
        <v>180000</v>
      </c>
      <c r="H329" s="6">
        <v>1080000</v>
      </c>
      <c r="I329" s="6">
        <v>136492.46</v>
      </c>
      <c r="J329" s="6">
        <v>261045.24</v>
      </c>
      <c r="K329" t="s">
        <v>71</v>
      </c>
      <c r="L329" t="s">
        <v>53</v>
      </c>
      <c r="M329" t="s">
        <v>50</v>
      </c>
    </row>
    <row r="330" spans="1:13">
      <c r="A330" s="4" t="s">
        <v>474</v>
      </c>
      <c r="B330" t="s">
        <v>14</v>
      </c>
      <c r="C330" s="2">
        <v>45692</v>
      </c>
      <c r="D330" s="4" t="s">
        <v>22</v>
      </c>
      <c r="E330" s="4" t="s">
        <v>23</v>
      </c>
      <c r="F330" s="6">
        <v>2</v>
      </c>
      <c r="G330" s="6">
        <v>280000</v>
      </c>
      <c r="H330" s="6">
        <v>560000</v>
      </c>
      <c r="I330" s="6">
        <v>213690</v>
      </c>
      <c r="J330" s="6">
        <v>132620</v>
      </c>
      <c r="K330" t="s">
        <v>71</v>
      </c>
      <c r="L330" t="s">
        <v>18</v>
      </c>
      <c r="M330" t="s">
        <v>50</v>
      </c>
    </row>
    <row r="331" spans="1:13">
      <c r="A331" s="4" t="s">
        <v>475</v>
      </c>
      <c r="B331" t="s">
        <v>117</v>
      </c>
      <c r="C331" s="2">
        <v>45847</v>
      </c>
      <c r="D331" s="4" t="s">
        <v>56</v>
      </c>
      <c r="E331" s="4" t="s">
        <v>23</v>
      </c>
      <c r="F331" s="6">
        <v>9</v>
      </c>
      <c r="G331" s="6">
        <v>30000</v>
      </c>
      <c r="H331" s="6">
        <v>270000</v>
      </c>
      <c r="I331" s="6">
        <v>20558.36</v>
      </c>
      <c r="J331" s="6">
        <v>84974.76</v>
      </c>
      <c r="K331" t="s">
        <v>17</v>
      </c>
      <c r="L331" t="s">
        <v>53</v>
      </c>
      <c r="M331" t="s">
        <v>67</v>
      </c>
    </row>
    <row r="332" spans="1:13">
      <c r="A332" s="4" t="s">
        <v>476</v>
      </c>
      <c r="B332" t="s">
        <v>127</v>
      </c>
      <c r="C332" s="2">
        <v>45927</v>
      </c>
      <c r="D332" s="4" t="s">
        <v>56</v>
      </c>
      <c r="E332" s="4" t="s">
        <v>23</v>
      </c>
      <c r="F332" s="6">
        <v>1</v>
      </c>
      <c r="G332" s="6">
        <v>70000</v>
      </c>
      <c r="H332" s="6">
        <v>70000</v>
      </c>
      <c r="I332" s="6">
        <v>46257.64</v>
      </c>
      <c r="J332" s="6">
        <v>23742.36</v>
      </c>
      <c r="K332" t="s">
        <v>33</v>
      </c>
      <c r="L332" t="s">
        <v>53</v>
      </c>
      <c r="M332" t="s">
        <v>25</v>
      </c>
    </row>
    <row r="333" spans="1:13">
      <c r="A333" s="4" t="s">
        <v>477</v>
      </c>
      <c r="B333" t="s">
        <v>302</v>
      </c>
      <c r="C333" s="2">
        <v>45891</v>
      </c>
      <c r="D333" s="4" t="s">
        <v>48</v>
      </c>
      <c r="E333" s="4" t="s">
        <v>49</v>
      </c>
      <c r="F333" s="6">
        <v>1</v>
      </c>
      <c r="G333" s="6">
        <v>140000</v>
      </c>
      <c r="H333" s="6">
        <v>140000</v>
      </c>
      <c r="I333" s="6">
        <v>87942.55</v>
      </c>
      <c r="J333" s="6">
        <v>52057.45</v>
      </c>
      <c r="K333" t="s">
        <v>24</v>
      </c>
      <c r="L333" t="s">
        <v>18</v>
      </c>
      <c r="M333" t="s">
        <v>25</v>
      </c>
    </row>
    <row r="334" spans="1:13">
      <c r="A334" s="4" t="s">
        <v>478</v>
      </c>
      <c r="B334" t="s">
        <v>65</v>
      </c>
      <c r="C334" s="2">
        <v>45990</v>
      </c>
      <c r="D334" s="4" t="s">
        <v>52</v>
      </c>
      <c r="E334" s="4" t="s">
        <v>23</v>
      </c>
      <c r="F334" s="6">
        <v>3</v>
      </c>
      <c r="G334" s="6">
        <v>45000</v>
      </c>
      <c r="H334" s="6">
        <v>135000</v>
      </c>
      <c r="I334" s="6">
        <v>30380.49</v>
      </c>
      <c r="J334" s="6">
        <v>43858.53</v>
      </c>
      <c r="K334" t="s">
        <v>71</v>
      </c>
      <c r="L334" t="s">
        <v>29</v>
      </c>
      <c r="M334" t="s">
        <v>38</v>
      </c>
    </row>
    <row r="335" spans="1:13">
      <c r="A335" s="4" t="s">
        <v>479</v>
      </c>
      <c r="B335" t="s">
        <v>294</v>
      </c>
      <c r="C335" s="2">
        <v>45798</v>
      </c>
      <c r="D335" s="4" t="s">
        <v>52</v>
      </c>
      <c r="E335" s="4" t="s">
        <v>23</v>
      </c>
      <c r="F335" s="6">
        <v>3</v>
      </c>
      <c r="G335" s="6">
        <v>45000</v>
      </c>
      <c r="H335" s="6">
        <v>135000</v>
      </c>
      <c r="I335" s="6">
        <v>27253.13</v>
      </c>
      <c r="J335" s="6">
        <v>53240.61</v>
      </c>
      <c r="K335" t="s">
        <v>17</v>
      </c>
      <c r="L335" t="s">
        <v>18</v>
      </c>
      <c r="M335" t="s">
        <v>25</v>
      </c>
    </row>
    <row r="336" spans="1:13">
      <c r="A336" s="4" t="s">
        <v>480</v>
      </c>
      <c r="B336" t="s">
        <v>96</v>
      </c>
      <c r="C336" s="2">
        <v>45770</v>
      </c>
      <c r="D336" s="4" t="s">
        <v>22</v>
      </c>
      <c r="E336" s="4" t="s">
        <v>23</v>
      </c>
      <c r="F336" s="6">
        <v>8</v>
      </c>
      <c r="G336" s="6">
        <v>210000</v>
      </c>
      <c r="H336" s="6">
        <v>1680000</v>
      </c>
      <c r="I336" s="6">
        <v>126461.05</v>
      </c>
      <c r="J336" s="6">
        <v>668311.6</v>
      </c>
      <c r="K336" t="s">
        <v>33</v>
      </c>
      <c r="L336" t="s">
        <v>18</v>
      </c>
      <c r="M336" t="s">
        <v>50</v>
      </c>
    </row>
    <row r="337" spans="1:13">
      <c r="A337" s="4" t="s">
        <v>481</v>
      </c>
      <c r="B337" t="s">
        <v>154</v>
      </c>
      <c r="C337" s="2">
        <v>45878</v>
      </c>
      <c r="D337" s="4" t="s">
        <v>48</v>
      </c>
      <c r="E337" s="4" t="s">
        <v>49</v>
      </c>
      <c r="F337" s="6">
        <v>4</v>
      </c>
      <c r="G337" s="6">
        <v>200000</v>
      </c>
      <c r="H337" s="6">
        <v>800000</v>
      </c>
      <c r="I337" s="6">
        <v>146880.23000000001</v>
      </c>
      <c r="J337" s="6">
        <v>212479.08</v>
      </c>
      <c r="K337" t="s">
        <v>24</v>
      </c>
      <c r="L337" t="s">
        <v>53</v>
      </c>
      <c r="M337" t="s">
        <v>67</v>
      </c>
    </row>
    <row r="338" spans="1:13">
      <c r="A338" s="4" t="s">
        <v>482</v>
      </c>
      <c r="B338" t="s">
        <v>88</v>
      </c>
      <c r="C338" s="2">
        <v>45916</v>
      </c>
      <c r="D338" s="4" t="s">
        <v>56</v>
      </c>
      <c r="E338" s="4" t="s">
        <v>23</v>
      </c>
      <c r="F338" s="6">
        <v>7</v>
      </c>
      <c r="G338" s="6">
        <v>70000</v>
      </c>
      <c r="H338" s="6">
        <v>490000</v>
      </c>
      <c r="I338" s="6">
        <v>48091.35</v>
      </c>
      <c r="J338" s="6">
        <v>153360.54999999999</v>
      </c>
      <c r="K338" t="s">
        <v>80</v>
      </c>
      <c r="L338" t="s">
        <v>29</v>
      </c>
      <c r="M338" t="s">
        <v>19</v>
      </c>
    </row>
    <row r="339" spans="1:13">
      <c r="A339" s="4" t="s">
        <v>483</v>
      </c>
      <c r="B339" t="s">
        <v>40</v>
      </c>
      <c r="C339" s="2">
        <v>45744</v>
      </c>
      <c r="D339" s="4" t="s">
        <v>56</v>
      </c>
      <c r="E339" s="4" t="s">
        <v>23</v>
      </c>
      <c r="F339" s="6">
        <v>1</v>
      </c>
      <c r="G339" s="6">
        <v>45000</v>
      </c>
      <c r="H339" s="6">
        <v>45000</v>
      </c>
      <c r="I339" s="6">
        <v>32774.44</v>
      </c>
      <c r="J339" s="6">
        <v>12225.56</v>
      </c>
      <c r="K339" t="s">
        <v>24</v>
      </c>
      <c r="L339" t="s">
        <v>53</v>
      </c>
      <c r="M339" t="s">
        <v>67</v>
      </c>
    </row>
    <row r="340" spans="1:13">
      <c r="A340" s="4" t="s">
        <v>484</v>
      </c>
      <c r="B340" t="s">
        <v>88</v>
      </c>
      <c r="C340" s="2">
        <v>45877</v>
      </c>
      <c r="D340" s="4" t="s">
        <v>45</v>
      </c>
      <c r="E340" s="4" t="s">
        <v>23</v>
      </c>
      <c r="F340" s="6">
        <v>5</v>
      </c>
      <c r="G340" s="6">
        <v>650000</v>
      </c>
      <c r="H340" s="6">
        <v>3250000</v>
      </c>
      <c r="I340" s="6">
        <v>418221.38</v>
      </c>
      <c r="J340" s="6">
        <v>1158893.1000000001</v>
      </c>
      <c r="K340" t="s">
        <v>33</v>
      </c>
      <c r="L340" t="s">
        <v>29</v>
      </c>
      <c r="M340" t="s">
        <v>67</v>
      </c>
    </row>
    <row r="341" spans="1:13">
      <c r="A341" s="4" t="s">
        <v>485</v>
      </c>
      <c r="B341" t="s">
        <v>47</v>
      </c>
      <c r="C341" s="2">
        <v>45798</v>
      </c>
      <c r="D341" s="4" t="s">
        <v>15</v>
      </c>
      <c r="E341" s="4" t="s">
        <v>16</v>
      </c>
      <c r="F341" s="6">
        <v>2</v>
      </c>
      <c r="G341" s="6">
        <v>8000</v>
      </c>
      <c r="H341" s="6">
        <v>16000</v>
      </c>
      <c r="I341" s="6">
        <v>6479.93</v>
      </c>
      <c r="J341" s="6">
        <v>3040.14</v>
      </c>
      <c r="K341" t="s">
        <v>33</v>
      </c>
      <c r="L341" t="s">
        <v>53</v>
      </c>
      <c r="M341" t="s">
        <v>50</v>
      </c>
    </row>
    <row r="342" spans="1:13">
      <c r="A342" s="4" t="s">
        <v>486</v>
      </c>
      <c r="B342" t="s">
        <v>302</v>
      </c>
      <c r="C342" s="2">
        <v>45977</v>
      </c>
      <c r="D342" s="4" t="s">
        <v>52</v>
      </c>
      <c r="E342" s="4" t="s">
        <v>23</v>
      </c>
      <c r="F342" s="6">
        <v>12</v>
      </c>
      <c r="G342" s="6">
        <v>85000</v>
      </c>
      <c r="H342" s="6">
        <v>1020000</v>
      </c>
      <c r="I342" s="6">
        <v>56187.44</v>
      </c>
      <c r="J342" s="6">
        <v>345750.72</v>
      </c>
      <c r="K342" t="s">
        <v>17</v>
      </c>
      <c r="L342" t="s">
        <v>53</v>
      </c>
      <c r="M342" t="s">
        <v>67</v>
      </c>
    </row>
    <row r="343" spans="1:13">
      <c r="A343" s="4" t="s">
        <v>487</v>
      </c>
      <c r="B343" t="s">
        <v>111</v>
      </c>
      <c r="C343" s="2">
        <v>45956</v>
      </c>
      <c r="D343" s="4" t="s">
        <v>22</v>
      </c>
      <c r="E343" s="4" t="s">
        <v>23</v>
      </c>
      <c r="F343" s="6">
        <v>1</v>
      </c>
      <c r="G343" s="6">
        <v>210000</v>
      </c>
      <c r="H343" s="6">
        <v>210000</v>
      </c>
      <c r="I343" s="6">
        <v>145173.54</v>
      </c>
      <c r="J343" s="6">
        <v>64826.46</v>
      </c>
      <c r="K343" t="s">
        <v>80</v>
      </c>
      <c r="L343" t="s">
        <v>53</v>
      </c>
      <c r="M343" t="s">
        <v>34</v>
      </c>
    </row>
    <row r="344" spans="1:13">
      <c r="A344" s="4" t="s">
        <v>488</v>
      </c>
      <c r="B344" t="s">
        <v>92</v>
      </c>
      <c r="C344" s="2">
        <v>45712</v>
      </c>
      <c r="D344" s="4" t="s">
        <v>70</v>
      </c>
      <c r="E344" s="4" t="s">
        <v>16</v>
      </c>
      <c r="F344" s="6">
        <v>1</v>
      </c>
      <c r="G344" s="6">
        <v>15000</v>
      </c>
      <c r="H344" s="6">
        <v>15000</v>
      </c>
      <c r="I344" s="6">
        <v>9631.4599999999991</v>
      </c>
      <c r="J344" s="6">
        <v>5368.54</v>
      </c>
      <c r="K344" t="s">
        <v>33</v>
      </c>
      <c r="L344" t="s">
        <v>18</v>
      </c>
      <c r="M344" t="s">
        <v>25</v>
      </c>
    </row>
    <row r="345" spans="1:13">
      <c r="A345" s="4" t="s">
        <v>489</v>
      </c>
      <c r="B345" t="s">
        <v>423</v>
      </c>
      <c r="C345" s="2">
        <v>45884</v>
      </c>
      <c r="D345" s="4" t="s">
        <v>15</v>
      </c>
      <c r="E345" s="4" t="s">
        <v>16</v>
      </c>
      <c r="F345" s="6">
        <v>4</v>
      </c>
      <c r="G345" s="6">
        <v>10000</v>
      </c>
      <c r="H345" s="6">
        <v>40000</v>
      </c>
      <c r="I345" s="6">
        <v>7348.85</v>
      </c>
      <c r="J345" s="6">
        <v>10604.6</v>
      </c>
      <c r="K345" t="s">
        <v>17</v>
      </c>
      <c r="L345" t="s">
        <v>29</v>
      </c>
      <c r="M345" t="s">
        <v>34</v>
      </c>
    </row>
    <row r="346" spans="1:13">
      <c r="A346" s="4" t="s">
        <v>490</v>
      </c>
      <c r="B346" t="s">
        <v>193</v>
      </c>
      <c r="C346" s="2">
        <v>45852</v>
      </c>
      <c r="D346" s="4" t="s">
        <v>63</v>
      </c>
      <c r="E346" s="4" t="s">
        <v>16</v>
      </c>
      <c r="F346" s="6">
        <v>7</v>
      </c>
      <c r="G346" s="6">
        <v>3000</v>
      </c>
      <c r="H346" s="6">
        <v>21000</v>
      </c>
      <c r="I346" s="6">
        <v>2110.2600000000002</v>
      </c>
      <c r="J346" s="6">
        <v>6228.18</v>
      </c>
      <c r="K346" t="s">
        <v>17</v>
      </c>
      <c r="L346" t="s">
        <v>29</v>
      </c>
      <c r="M346" t="s">
        <v>67</v>
      </c>
    </row>
    <row r="347" spans="1:13">
      <c r="A347" s="4" t="s">
        <v>491</v>
      </c>
      <c r="B347" t="s">
        <v>156</v>
      </c>
      <c r="C347" s="2">
        <v>45951</v>
      </c>
      <c r="D347" s="4" t="s">
        <v>22</v>
      </c>
      <c r="E347" s="4" t="s">
        <v>23</v>
      </c>
      <c r="F347" s="6">
        <v>1</v>
      </c>
      <c r="G347" s="6">
        <v>210000</v>
      </c>
      <c r="H347" s="6">
        <v>210000</v>
      </c>
      <c r="I347" s="6">
        <v>154745.64000000001</v>
      </c>
      <c r="J347" s="6">
        <v>55254.36</v>
      </c>
      <c r="K347" t="s">
        <v>71</v>
      </c>
      <c r="L347" t="s">
        <v>53</v>
      </c>
      <c r="M347" t="s">
        <v>38</v>
      </c>
    </row>
    <row r="348" spans="1:13">
      <c r="A348" s="4" t="s">
        <v>492</v>
      </c>
      <c r="B348" t="s">
        <v>90</v>
      </c>
      <c r="C348" s="2">
        <v>46002</v>
      </c>
      <c r="D348" s="4" t="s">
        <v>63</v>
      </c>
      <c r="E348" s="4" t="s">
        <v>16</v>
      </c>
      <c r="F348" s="6">
        <v>8</v>
      </c>
      <c r="G348" s="6">
        <v>5000</v>
      </c>
      <c r="H348" s="6">
        <v>40000</v>
      </c>
      <c r="I348" s="6">
        <v>3856.71</v>
      </c>
      <c r="J348" s="6">
        <v>9146.32</v>
      </c>
      <c r="K348" t="s">
        <v>71</v>
      </c>
      <c r="L348" t="s">
        <v>29</v>
      </c>
      <c r="M348" t="s">
        <v>50</v>
      </c>
    </row>
    <row r="349" spans="1:13">
      <c r="A349" s="4" t="s">
        <v>493</v>
      </c>
      <c r="B349" t="s">
        <v>222</v>
      </c>
      <c r="C349" s="2">
        <v>45791</v>
      </c>
      <c r="D349" s="4" t="s">
        <v>66</v>
      </c>
      <c r="E349" s="4" t="s">
        <v>49</v>
      </c>
      <c r="F349" s="6">
        <v>3</v>
      </c>
      <c r="G349" s="6">
        <v>175000</v>
      </c>
      <c r="H349" s="6">
        <v>525000</v>
      </c>
      <c r="I349" s="6">
        <v>121119.58</v>
      </c>
      <c r="J349" s="6">
        <v>161641.26</v>
      </c>
      <c r="K349" t="s">
        <v>80</v>
      </c>
      <c r="L349" t="s">
        <v>53</v>
      </c>
      <c r="M349" t="s">
        <v>30</v>
      </c>
    </row>
    <row r="350" spans="1:13">
      <c r="A350" s="4" t="s">
        <v>494</v>
      </c>
      <c r="B350" t="s">
        <v>121</v>
      </c>
      <c r="C350" s="2">
        <v>45817</v>
      </c>
      <c r="D350" s="4" t="s">
        <v>52</v>
      </c>
      <c r="E350" s="4" t="s">
        <v>23</v>
      </c>
      <c r="F350" s="6">
        <v>1</v>
      </c>
      <c r="G350" s="6">
        <v>85000</v>
      </c>
      <c r="H350" s="6">
        <v>85000</v>
      </c>
      <c r="I350" s="6">
        <v>64773.27</v>
      </c>
      <c r="J350" s="6">
        <v>20226.73</v>
      </c>
      <c r="K350" t="s">
        <v>71</v>
      </c>
      <c r="L350" t="s">
        <v>29</v>
      </c>
      <c r="M350" t="s">
        <v>50</v>
      </c>
    </row>
    <row r="351" spans="1:13">
      <c r="A351" s="4" t="s">
        <v>495</v>
      </c>
      <c r="B351" t="s">
        <v>302</v>
      </c>
      <c r="C351" s="2">
        <v>46016</v>
      </c>
      <c r="D351" s="4" t="s">
        <v>56</v>
      </c>
      <c r="E351" s="4" t="s">
        <v>23</v>
      </c>
      <c r="F351" s="6">
        <v>6</v>
      </c>
      <c r="G351" s="6">
        <v>70000</v>
      </c>
      <c r="H351" s="6">
        <v>420000</v>
      </c>
      <c r="I351" s="6">
        <v>50068.59</v>
      </c>
      <c r="J351" s="6">
        <v>119588.46</v>
      </c>
      <c r="K351" t="s">
        <v>71</v>
      </c>
      <c r="L351" t="s">
        <v>29</v>
      </c>
      <c r="M351" t="s">
        <v>25</v>
      </c>
    </row>
    <row r="352" spans="1:13">
      <c r="A352" s="4" t="s">
        <v>496</v>
      </c>
      <c r="B352" t="s">
        <v>219</v>
      </c>
      <c r="C352" s="2">
        <v>45856</v>
      </c>
      <c r="D352" s="4" t="s">
        <v>106</v>
      </c>
      <c r="E352" s="4" t="s">
        <v>23</v>
      </c>
      <c r="F352" s="6">
        <v>1</v>
      </c>
      <c r="G352" s="6">
        <v>200000</v>
      </c>
      <c r="H352" s="6">
        <v>200000</v>
      </c>
      <c r="I352" s="6">
        <v>161557.59</v>
      </c>
      <c r="J352" s="6">
        <v>38442.410000000003</v>
      </c>
      <c r="K352" t="s">
        <v>71</v>
      </c>
      <c r="L352" t="s">
        <v>29</v>
      </c>
      <c r="M352" t="s">
        <v>30</v>
      </c>
    </row>
    <row r="353" spans="1:13">
      <c r="A353" s="4" t="s">
        <v>497</v>
      </c>
      <c r="B353" t="s">
        <v>121</v>
      </c>
      <c r="C353" s="2">
        <v>45948</v>
      </c>
      <c r="D353" s="4" t="s">
        <v>15</v>
      </c>
      <c r="E353" s="4" t="s">
        <v>16</v>
      </c>
      <c r="F353" s="6">
        <v>10</v>
      </c>
      <c r="G353" s="6">
        <v>12500</v>
      </c>
      <c r="H353" s="6">
        <v>125000</v>
      </c>
      <c r="I353" s="6">
        <v>9525.1299999999992</v>
      </c>
      <c r="J353" s="6">
        <v>29748.7</v>
      </c>
      <c r="K353" t="s">
        <v>17</v>
      </c>
      <c r="L353" t="s">
        <v>18</v>
      </c>
      <c r="M353" t="s">
        <v>34</v>
      </c>
    </row>
    <row r="354" spans="1:13">
      <c r="A354" s="4" t="s">
        <v>498</v>
      </c>
      <c r="B354" t="s">
        <v>499</v>
      </c>
      <c r="C354" s="2">
        <v>45778</v>
      </c>
      <c r="D354" s="4" t="s">
        <v>56</v>
      </c>
      <c r="E354" s="4" t="s">
        <v>23</v>
      </c>
      <c r="F354" s="6">
        <v>3</v>
      </c>
      <c r="G354" s="6">
        <v>70000</v>
      </c>
      <c r="H354" s="6">
        <v>210000</v>
      </c>
      <c r="I354" s="6">
        <v>51849.37</v>
      </c>
      <c r="J354" s="6">
        <v>54451.89</v>
      </c>
      <c r="K354" t="s">
        <v>33</v>
      </c>
      <c r="L354" t="s">
        <v>29</v>
      </c>
      <c r="M354" t="s">
        <v>67</v>
      </c>
    </row>
    <row r="355" spans="1:13">
      <c r="A355" s="4" t="s">
        <v>500</v>
      </c>
      <c r="B355" t="s">
        <v>302</v>
      </c>
      <c r="C355" s="2">
        <v>45819</v>
      </c>
      <c r="D355" s="4" t="s">
        <v>419</v>
      </c>
      <c r="E355" s="4" t="s">
        <v>49</v>
      </c>
      <c r="F355" s="6">
        <v>8</v>
      </c>
      <c r="G355" s="6">
        <f>Cleaned_Data4[[#This Row],[Sales_Amount]]/Cleaned_Data4[[#This Row],[Quantity]]</f>
        <v>140000</v>
      </c>
      <c r="H355" s="6">
        <v>1120000</v>
      </c>
      <c r="I355" s="6">
        <v>89632.73</v>
      </c>
      <c r="J355" s="6">
        <v>402938.16</v>
      </c>
      <c r="K355" t="s">
        <v>17</v>
      </c>
      <c r="L355" t="s">
        <v>29</v>
      </c>
      <c r="M355" t="s">
        <v>67</v>
      </c>
    </row>
    <row r="356" spans="1:13">
      <c r="A356" s="4" t="s">
        <v>501</v>
      </c>
      <c r="B356" t="s">
        <v>359</v>
      </c>
      <c r="C356" s="2">
        <v>45871</v>
      </c>
      <c r="D356" s="4" t="s">
        <v>106</v>
      </c>
      <c r="E356" s="4" t="s">
        <v>23</v>
      </c>
      <c r="F356" s="6">
        <v>11</v>
      </c>
      <c r="G356" s="6">
        <v>200000</v>
      </c>
      <c r="H356" s="6">
        <v>2200000</v>
      </c>
      <c r="I356" s="6">
        <v>160722.63</v>
      </c>
      <c r="J356" s="6">
        <v>432051.07</v>
      </c>
      <c r="K356" t="s">
        <v>24</v>
      </c>
      <c r="L356" t="s">
        <v>29</v>
      </c>
      <c r="M356" t="s">
        <v>30</v>
      </c>
    </row>
    <row r="357" spans="1:13">
      <c r="A357" s="4" t="s">
        <v>502</v>
      </c>
      <c r="B357" t="s">
        <v>103</v>
      </c>
      <c r="C357" s="2">
        <v>45743</v>
      </c>
      <c r="D357" s="4" t="s">
        <v>52</v>
      </c>
      <c r="E357" s="4" t="s">
        <v>23</v>
      </c>
      <c r="F357" s="6">
        <v>1</v>
      </c>
      <c r="G357" s="6">
        <v>45000</v>
      </c>
      <c r="H357" s="6">
        <v>45000</v>
      </c>
      <c r="I357" s="6">
        <v>36181.870000000003</v>
      </c>
      <c r="J357" s="6">
        <v>8818.1299999999992</v>
      </c>
      <c r="K357" t="s">
        <v>24</v>
      </c>
      <c r="L357" t="s">
        <v>18</v>
      </c>
      <c r="M357" t="s">
        <v>19</v>
      </c>
    </row>
    <row r="358" spans="1:13">
      <c r="A358" s="4" t="s">
        <v>503</v>
      </c>
      <c r="B358" t="s">
        <v>75</v>
      </c>
      <c r="C358" s="2">
        <v>45762</v>
      </c>
      <c r="D358" s="4" t="s">
        <v>63</v>
      </c>
      <c r="E358" s="4" t="s">
        <v>16</v>
      </c>
      <c r="F358" s="6">
        <v>11</v>
      </c>
      <c r="G358" s="6">
        <v>7000</v>
      </c>
      <c r="H358" s="6">
        <v>77000</v>
      </c>
      <c r="I358" s="6">
        <v>5492.89</v>
      </c>
      <c r="J358" s="6">
        <v>16578.21</v>
      </c>
      <c r="K358" t="s">
        <v>80</v>
      </c>
      <c r="L358" t="s">
        <v>29</v>
      </c>
      <c r="M358" t="s">
        <v>34</v>
      </c>
    </row>
    <row r="359" spans="1:13">
      <c r="A359" s="4" t="s">
        <v>504</v>
      </c>
      <c r="B359" t="s">
        <v>193</v>
      </c>
      <c r="C359" s="2">
        <v>45898</v>
      </c>
      <c r="D359" s="4" t="s">
        <v>56</v>
      </c>
      <c r="E359" s="4" t="s">
        <v>23</v>
      </c>
      <c r="F359" s="6">
        <v>6</v>
      </c>
      <c r="G359" s="6">
        <v>30000</v>
      </c>
      <c r="H359" s="6">
        <v>180000</v>
      </c>
      <c r="I359" s="6">
        <v>20069.080000000002</v>
      </c>
      <c r="J359" s="6">
        <v>59585.52</v>
      </c>
      <c r="K359" t="s">
        <v>17</v>
      </c>
      <c r="L359" t="s">
        <v>18</v>
      </c>
      <c r="M359" t="s">
        <v>34</v>
      </c>
    </row>
    <row r="360" spans="1:13">
      <c r="A360" s="4" t="s">
        <v>505</v>
      </c>
      <c r="B360" t="s">
        <v>359</v>
      </c>
      <c r="C360" s="2">
        <v>45668</v>
      </c>
      <c r="D360" s="4" t="s">
        <v>70</v>
      </c>
      <c r="E360" s="4" t="s">
        <v>16</v>
      </c>
      <c r="F360" s="6">
        <v>3</v>
      </c>
      <c r="G360" s="6">
        <v>22000</v>
      </c>
      <c r="H360" s="6">
        <v>66000</v>
      </c>
      <c r="I360" s="6">
        <v>16594.38</v>
      </c>
      <c r="J360" s="6">
        <v>16216.86</v>
      </c>
      <c r="K360" t="s">
        <v>24</v>
      </c>
      <c r="L360" t="s">
        <v>29</v>
      </c>
      <c r="M360" t="s">
        <v>50</v>
      </c>
    </row>
    <row r="361" spans="1:13">
      <c r="A361" s="4" t="s">
        <v>506</v>
      </c>
      <c r="B361" t="s">
        <v>266</v>
      </c>
      <c r="C361" s="2">
        <v>46013</v>
      </c>
      <c r="D361" s="4" t="s">
        <v>507</v>
      </c>
      <c r="E361" s="4" t="s">
        <v>16</v>
      </c>
      <c r="F361" s="6">
        <v>8</v>
      </c>
      <c r="G361" s="6">
        <v>22000</v>
      </c>
      <c r="H361" s="6">
        <v>176000</v>
      </c>
      <c r="I361" s="6">
        <v>16258.44</v>
      </c>
      <c r="J361" s="6">
        <v>45932.480000000003</v>
      </c>
      <c r="K361" t="s">
        <v>33</v>
      </c>
      <c r="L361" t="s">
        <v>53</v>
      </c>
      <c r="M361" t="s">
        <v>30</v>
      </c>
    </row>
    <row r="362" spans="1:13">
      <c r="A362" s="4" t="s">
        <v>508</v>
      </c>
      <c r="B362" t="s">
        <v>92</v>
      </c>
      <c r="C362" s="2">
        <v>45943</v>
      </c>
      <c r="D362" s="4" t="s">
        <v>63</v>
      </c>
      <c r="E362" s="4" t="s">
        <v>16</v>
      </c>
      <c r="F362" s="6">
        <v>6</v>
      </c>
      <c r="G362" s="6">
        <v>3000</v>
      </c>
      <c r="H362" s="6">
        <v>18000</v>
      </c>
      <c r="I362" s="6">
        <v>1883.32</v>
      </c>
      <c r="J362" s="6">
        <v>6700.08</v>
      </c>
      <c r="K362" t="s">
        <v>24</v>
      </c>
      <c r="L362" t="s">
        <v>18</v>
      </c>
      <c r="M362" t="s">
        <v>67</v>
      </c>
    </row>
    <row r="363" spans="1:13">
      <c r="A363" s="4" t="s">
        <v>509</v>
      </c>
      <c r="B363" t="s">
        <v>32</v>
      </c>
      <c r="C363" s="2">
        <v>45779</v>
      </c>
      <c r="D363" s="4" t="s">
        <v>106</v>
      </c>
      <c r="E363" s="4" t="s">
        <v>23</v>
      </c>
      <c r="F363" s="6">
        <v>5</v>
      </c>
      <c r="G363" s="6">
        <v>120000</v>
      </c>
      <c r="H363" s="6">
        <v>600000</v>
      </c>
      <c r="I363" s="6">
        <v>70975.179999999993</v>
      </c>
      <c r="J363" s="6">
        <v>245124.1</v>
      </c>
      <c r="K363" t="s">
        <v>33</v>
      </c>
      <c r="L363" t="s">
        <v>29</v>
      </c>
      <c r="M363" t="s">
        <v>67</v>
      </c>
    </row>
    <row r="364" spans="1:13">
      <c r="A364" s="4" t="s">
        <v>510</v>
      </c>
      <c r="B364" t="s">
        <v>308</v>
      </c>
      <c r="C364" s="2">
        <v>45952</v>
      </c>
      <c r="D364" s="4" t="s">
        <v>63</v>
      </c>
      <c r="E364" s="4" t="s">
        <v>16</v>
      </c>
      <c r="F364" s="6">
        <v>5</v>
      </c>
      <c r="G364" s="6">
        <v>7000</v>
      </c>
      <c r="H364" s="6">
        <v>35000</v>
      </c>
      <c r="I364" s="6">
        <v>4555.99</v>
      </c>
      <c r="J364" s="6">
        <v>12220.05</v>
      </c>
      <c r="K364" t="s">
        <v>80</v>
      </c>
      <c r="L364" t="s">
        <v>29</v>
      </c>
      <c r="M364" t="s">
        <v>67</v>
      </c>
    </row>
    <row r="365" spans="1:13">
      <c r="A365" s="4" t="s">
        <v>511</v>
      </c>
      <c r="B365" t="s">
        <v>512</v>
      </c>
      <c r="C365" s="2">
        <v>46005</v>
      </c>
      <c r="D365" s="4" t="s">
        <v>22</v>
      </c>
      <c r="E365" s="4" t="s">
        <v>23</v>
      </c>
      <c r="F365" s="6">
        <v>6</v>
      </c>
      <c r="G365" s="6">
        <v>280000</v>
      </c>
      <c r="H365" s="6">
        <v>1680000</v>
      </c>
      <c r="I365" s="6">
        <v>198411.5</v>
      </c>
      <c r="J365" s="6">
        <v>489531</v>
      </c>
      <c r="K365" t="s">
        <v>71</v>
      </c>
      <c r="L365" t="s">
        <v>18</v>
      </c>
      <c r="M365" t="s">
        <v>19</v>
      </c>
    </row>
    <row r="366" spans="1:13">
      <c r="A366" s="4" t="s">
        <v>513</v>
      </c>
      <c r="B366" t="s">
        <v>127</v>
      </c>
      <c r="C366" s="2">
        <v>46020</v>
      </c>
      <c r="D366" s="4" t="s">
        <v>15</v>
      </c>
      <c r="E366" s="4" t="s">
        <v>16</v>
      </c>
      <c r="F366" s="6">
        <v>1</v>
      </c>
      <c r="G366" s="6">
        <v>12500</v>
      </c>
      <c r="H366" s="6">
        <v>12500</v>
      </c>
      <c r="I366" s="6">
        <v>9140.33</v>
      </c>
      <c r="J366" s="6">
        <v>3359.67</v>
      </c>
      <c r="K366" t="s">
        <v>24</v>
      </c>
      <c r="L366" t="s">
        <v>18</v>
      </c>
      <c r="M366" t="s">
        <v>38</v>
      </c>
    </row>
    <row r="367" spans="1:13">
      <c r="A367" s="4" t="s">
        <v>514</v>
      </c>
      <c r="B367" t="s">
        <v>231</v>
      </c>
      <c r="C367" s="2">
        <v>46006</v>
      </c>
      <c r="D367" s="4" t="s">
        <v>70</v>
      </c>
      <c r="E367" s="4" t="s">
        <v>16</v>
      </c>
      <c r="F367" s="6">
        <v>12</v>
      </c>
      <c r="G367" s="6">
        <v>35000</v>
      </c>
      <c r="H367" s="6">
        <v>420000</v>
      </c>
      <c r="I367" s="6">
        <v>27637.79</v>
      </c>
      <c r="J367" s="6">
        <v>88346.52</v>
      </c>
      <c r="K367" t="s">
        <v>24</v>
      </c>
      <c r="L367" t="s">
        <v>29</v>
      </c>
      <c r="M367" t="s">
        <v>67</v>
      </c>
    </row>
    <row r="368" spans="1:13">
      <c r="A368" s="4" t="s">
        <v>515</v>
      </c>
      <c r="B368" t="s">
        <v>133</v>
      </c>
      <c r="C368" s="2">
        <v>45920</v>
      </c>
      <c r="D368" s="4" t="s">
        <v>37</v>
      </c>
      <c r="E368" s="4" t="s">
        <v>16</v>
      </c>
      <c r="F368" s="6">
        <v>2</v>
      </c>
      <c r="G368" s="6">
        <v>18000</v>
      </c>
      <c r="H368" s="6">
        <v>36000</v>
      </c>
      <c r="I368" s="6">
        <v>12297.23</v>
      </c>
      <c r="J368" s="6">
        <v>11405.54</v>
      </c>
      <c r="K368" t="s">
        <v>33</v>
      </c>
      <c r="L368" t="s">
        <v>29</v>
      </c>
      <c r="M368" t="s">
        <v>25</v>
      </c>
    </row>
    <row r="369" spans="1:13">
      <c r="A369" s="4" t="s">
        <v>516</v>
      </c>
      <c r="B369" t="s">
        <v>165</v>
      </c>
      <c r="C369" s="2">
        <v>45901</v>
      </c>
      <c r="D369" s="4" t="s">
        <v>70</v>
      </c>
      <c r="E369" s="4" t="s">
        <v>16</v>
      </c>
      <c r="F369" s="6">
        <v>5</v>
      </c>
      <c r="G369" s="6">
        <v>35000</v>
      </c>
      <c r="H369" s="6">
        <v>175000</v>
      </c>
      <c r="I369" s="6">
        <v>25342.86</v>
      </c>
      <c r="J369" s="6">
        <v>48285.7</v>
      </c>
      <c r="K369" t="s">
        <v>80</v>
      </c>
      <c r="L369" t="s">
        <v>29</v>
      </c>
      <c r="M369" t="s">
        <v>25</v>
      </c>
    </row>
    <row r="370" spans="1:13">
      <c r="A370" s="4" t="s">
        <v>517</v>
      </c>
      <c r="B370" t="s">
        <v>47</v>
      </c>
      <c r="C370" s="2">
        <v>45701</v>
      </c>
      <c r="D370" s="4" t="s">
        <v>37</v>
      </c>
      <c r="E370" s="4" t="s">
        <v>16</v>
      </c>
      <c r="F370" s="6">
        <v>4</v>
      </c>
      <c r="G370" s="6">
        <v>25000</v>
      </c>
      <c r="H370" s="6">
        <v>100000</v>
      </c>
      <c r="I370" s="6">
        <v>16938.57</v>
      </c>
      <c r="J370" s="6">
        <v>32245.72</v>
      </c>
      <c r="K370" t="s">
        <v>71</v>
      </c>
      <c r="L370" t="s">
        <v>18</v>
      </c>
      <c r="M370" t="s">
        <v>30</v>
      </c>
    </row>
    <row r="371" spans="1:13">
      <c r="A371" s="4" t="s">
        <v>518</v>
      </c>
      <c r="B371" t="s">
        <v>266</v>
      </c>
      <c r="C371" s="2">
        <v>45985</v>
      </c>
      <c r="D371" s="4" t="s">
        <v>106</v>
      </c>
      <c r="E371" s="4" t="s">
        <v>23</v>
      </c>
      <c r="F371" s="6">
        <v>1</v>
      </c>
      <c r="G371" s="6">
        <f>Cleaned_Data4[[#This Row],[Sales_Amount]]/Cleaned_Data4[[#This Row],[Quantity]]</f>
        <v>120000</v>
      </c>
      <c r="H371" s="6">
        <v>120000</v>
      </c>
      <c r="I371" s="6">
        <v>88930.1</v>
      </c>
      <c r="J371" s="6">
        <v>31069.9</v>
      </c>
      <c r="K371" t="s">
        <v>24</v>
      </c>
      <c r="L371" t="s">
        <v>18</v>
      </c>
      <c r="M371" t="s">
        <v>34</v>
      </c>
    </row>
    <row r="372" spans="1:13">
      <c r="A372" s="4" t="s">
        <v>519</v>
      </c>
      <c r="B372" t="s">
        <v>121</v>
      </c>
      <c r="C372" s="2">
        <v>45851</v>
      </c>
      <c r="D372" s="4" t="s">
        <v>56</v>
      </c>
      <c r="E372" s="4" t="s">
        <v>23</v>
      </c>
      <c r="F372" s="6">
        <v>9</v>
      </c>
      <c r="G372" s="6">
        <v>70000</v>
      </c>
      <c r="H372" s="6">
        <v>630000</v>
      </c>
      <c r="I372" s="6">
        <v>44760.24</v>
      </c>
      <c r="J372" s="6">
        <v>227157.84</v>
      </c>
      <c r="K372" t="s">
        <v>33</v>
      </c>
      <c r="L372" t="s">
        <v>18</v>
      </c>
      <c r="M372" t="s">
        <v>50</v>
      </c>
    </row>
    <row r="373" spans="1:13">
      <c r="A373" s="4" t="s">
        <v>520</v>
      </c>
      <c r="B373" t="s">
        <v>380</v>
      </c>
      <c r="C373" s="2">
        <v>45789</v>
      </c>
      <c r="D373" s="4" t="s">
        <v>70</v>
      </c>
      <c r="E373" s="4" t="s">
        <v>16</v>
      </c>
      <c r="F373" s="6">
        <v>4</v>
      </c>
      <c r="G373" s="6">
        <v>15000</v>
      </c>
      <c r="H373" s="6">
        <v>60000</v>
      </c>
      <c r="I373" s="6">
        <v>11252.94</v>
      </c>
      <c r="J373" s="6">
        <v>14988.24</v>
      </c>
      <c r="K373" t="s">
        <v>24</v>
      </c>
      <c r="L373" t="s">
        <v>18</v>
      </c>
      <c r="M373" t="s">
        <v>67</v>
      </c>
    </row>
    <row r="374" spans="1:13">
      <c r="A374" s="4" t="s">
        <v>521</v>
      </c>
      <c r="B374" t="s">
        <v>100</v>
      </c>
      <c r="C374" s="2">
        <v>45725</v>
      </c>
      <c r="D374" s="4" t="s">
        <v>63</v>
      </c>
      <c r="E374" s="4" t="s">
        <v>16</v>
      </c>
      <c r="F374" s="6">
        <v>7</v>
      </c>
      <c r="G374" s="6">
        <v>7000</v>
      </c>
      <c r="H374" s="6">
        <v>49000</v>
      </c>
      <c r="I374" s="6">
        <v>4767.05</v>
      </c>
      <c r="J374" s="6">
        <v>15630.65</v>
      </c>
      <c r="K374" t="s">
        <v>71</v>
      </c>
      <c r="L374" t="s">
        <v>29</v>
      </c>
      <c r="M374" t="s">
        <v>34</v>
      </c>
    </row>
    <row r="375" spans="1:13">
      <c r="A375" s="4" t="s">
        <v>522</v>
      </c>
      <c r="B375" t="s">
        <v>58</v>
      </c>
      <c r="C375" s="2">
        <v>45694</v>
      </c>
      <c r="D375" s="4" t="s">
        <v>70</v>
      </c>
      <c r="E375" s="4" t="s">
        <v>16</v>
      </c>
      <c r="F375" s="6">
        <v>9</v>
      </c>
      <c r="G375" s="6">
        <v>22000</v>
      </c>
      <c r="H375" s="6">
        <v>198000</v>
      </c>
      <c r="I375" s="6">
        <v>13718.87</v>
      </c>
      <c r="J375" s="6">
        <v>74530.17</v>
      </c>
      <c r="K375" t="s">
        <v>80</v>
      </c>
      <c r="L375" t="s">
        <v>53</v>
      </c>
      <c r="M375" t="s">
        <v>67</v>
      </c>
    </row>
    <row r="376" spans="1:13">
      <c r="A376" s="4" t="s">
        <v>523</v>
      </c>
      <c r="B376" t="s">
        <v>73</v>
      </c>
      <c r="C376" s="2">
        <v>45818</v>
      </c>
      <c r="D376" s="4" t="s">
        <v>52</v>
      </c>
      <c r="E376" s="4" t="s">
        <v>23</v>
      </c>
      <c r="F376" s="6">
        <v>7</v>
      </c>
      <c r="G376" s="6">
        <v>85000</v>
      </c>
      <c r="H376" s="6">
        <v>595000</v>
      </c>
      <c r="I376" s="6">
        <v>51664.38</v>
      </c>
      <c r="J376" s="6">
        <v>233349.34</v>
      </c>
      <c r="K376" t="s">
        <v>17</v>
      </c>
      <c r="L376" t="s">
        <v>53</v>
      </c>
      <c r="M376" t="s">
        <v>34</v>
      </c>
    </row>
    <row r="377" spans="1:13">
      <c r="A377" s="4" t="s">
        <v>524</v>
      </c>
      <c r="B377" t="s">
        <v>250</v>
      </c>
      <c r="C377" s="2" t="s">
        <v>355</v>
      </c>
      <c r="D377" s="4" t="s">
        <v>52</v>
      </c>
      <c r="E377" s="4" t="s">
        <v>23</v>
      </c>
      <c r="F377" s="6">
        <v>12</v>
      </c>
      <c r="G377" s="6">
        <v>65000</v>
      </c>
      <c r="H377" s="6">
        <v>780000</v>
      </c>
      <c r="I377" s="6">
        <v>50009.599999999999</v>
      </c>
      <c r="J377" s="6">
        <v>179884.79999999999</v>
      </c>
      <c r="K377" t="s">
        <v>80</v>
      </c>
      <c r="L377" t="s">
        <v>18</v>
      </c>
      <c r="M377" t="s">
        <v>30</v>
      </c>
    </row>
    <row r="378" spans="1:13">
      <c r="A378" s="4" t="s">
        <v>525</v>
      </c>
      <c r="B378" t="s">
        <v>77</v>
      </c>
      <c r="C378" s="2">
        <v>46016</v>
      </c>
      <c r="D378" s="4" t="s">
        <v>22</v>
      </c>
      <c r="E378" s="4" t="s">
        <v>23</v>
      </c>
      <c r="F378" s="6">
        <v>12</v>
      </c>
      <c r="G378" s="6">
        <v>280000</v>
      </c>
      <c r="H378" s="6">
        <v>3360000</v>
      </c>
      <c r="I378" s="6">
        <v>182486.96</v>
      </c>
      <c r="J378" s="6">
        <v>1170156.48</v>
      </c>
      <c r="K378" t="s">
        <v>33</v>
      </c>
      <c r="L378" t="s">
        <v>29</v>
      </c>
      <c r="M378" t="s">
        <v>38</v>
      </c>
    </row>
    <row r="379" spans="1:13">
      <c r="A379" s="4" t="s">
        <v>526</v>
      </c>
      <c r="B379" t="s">
        <v>151</v>
      </c>
      <c r="C379" s="2">
        <v>45720</v>
      </c>
      <c r="D379" s="4" t="s">
        <v>63</v>
      </c>
      <c r="E379" s="4" t="s">
        <v>16</v>
      </c>
      <c r="F379" s="6">
        <v>1</v>
      </c>
      <c r="G379" s="6">
        <v>5000</v>
      </c>
      <c r="H379" s="6">
        <v>5000</v>
      </c>
      <c r="I379" s="6">
        <v>2960.77</v>
      </c>
      <c r="J379" s="6">
        <v>2039.23</v>
      </c>
      <c r="K379" t="s">
        <v>80</v>
      </c>
      <c r="L379" t="s">
        <v>18</v>
      </c>
      <c r="M379" t="s">
        <v>30</v>
      </c>
    </row>
    <row r="380" spans="1:13">
      <c r="A380" s="4" t="s">
        <v>527</v>
      </c>
      <c r="B380" t="s">
        <v>55</v>
      </c>
      <c r="C380" s="2">
        <v>45716</v>
      </c>
      <c r="D380" s="4" t="s">
        <v>56</v>
      </c>
      <c r="E380" s="4" t="s">
        <v>23</v>
      </c>
      <c r="F380" s="6">
        <v>1</v>
      </c>
      <c r="G380" s="6">
        <v>45000</v>
      </c>
      <c r="H380" s="6">
        <v>45000</v>
      </c>
      <c r="I380" s="6">
        <v>33098.080000000002</v>
      </c>
      <c r="J380" s="6">
        <v>11901.92</v>
      </c>
      <c r="K380" t="s">
        <v>71</v>
      </c>
      <c r="L380" t="s">
        <v>18</v>
      </c>
      <c r="M380" t="s">
        <v>50</v>
      </c>
    </row>
    <row r="381" spans="1:13">
      <c r="A381" s="4" t="s">
        <v>528</v>
      </c>
      <c r="B381" t="s">
        <v>156</v>
      </c>
      <c r="C381" s="2">
        <v>45911</v>
      </c>
      <c r="D381" s="4" t="s">
        <v>45</v>
      </c>
      <c r="E381" s="4" t="s">
        <v>23</v>
      </c>
      <c r="F381" s="6">
        <v>4</v>
      </c>
      <c r="G381" s="6">
        <v>450000</v>
      </c>
      <c r="H381" s="6">
        <v>1800000</v>
      </c>
      <c r="I381" s="6">
        <v>329986.84000000003</v>
      </c>
      <c r="J381" s="6">
        <v>480052.64</v>
      </c>
      <c r="K381" t="s">
        <v>71</v>
      </c>
      <c r="L381" t="s">
        <v>29</v>
      </c>
      <c r="M381" t="s">
        <v>25</v>
      </c>
    </row>
    <row r="382" spans="1:13">
      <c r="A382" s="4" t="s">
        <v>529</v>
      </c>
      <c r="B382" t="s">
        <v>121</v>
      </c>
      <c r="C382" s="2">
        <v>45783</v>
      </c>
      <c r="D382" s="4" t="s">
        <v>15</v>
      </c>
      <c r="E382" s="4" t="s">
        <v>16</v>
      </c>
      <c r="F382" s="6">
        <v>9</v>
      </c>
      <c r="G382" s="6">
        <v>10000</v>
      </c>
      <c r="H382" s="6">
        <v>90000</v>
      </c>
      <c r="I382" s="6">
        <v>7158.23</v>
      </c>
      <c r="J382" s="6">
        <v>25575.93</v>
      </c>
      <c r="K382" t="s">
        <v>71</v>
      </c>
      <c r="L382" t="s">
        <v>53</v>
      </c>
      <c r="M382" t="s">
        <v>67</v>
      </c>
    </row>
    <row r="383" spans="1:13">
      <c r="A383" s="4" t="s">
        <v>530</v>
      </c>
      <c r="B383" t="s">
        <v>125</v>
      </c>
      <c r="C383" s="2">
        <v>46021</v>
      </c>
      <c r="D383" s="4" t="s">
        <v>63</v>
      </c>
      <c r="E383" s="4" t="s">
        <v>16</v>
      </c>
      <c r="F383" s="6">
        <v>1</v>
      </c>
      <c r="G383" s="6">
        <v>5000</v>
      </c>
      <c r="H383" s="6">
        <v>5000</v>
      </c>
      <c r="I383" s="6">
        <v>3396.64</v>
      </c>
      <c r="J383" s="6">
        <v>1603.36</v>
      </c>
      <c r="K383" t="s">
        <v>71</v>
      </c>
      <c r="L383" t="s">
        <v>29</v>
      </c>
      <c r="M383" t="s">
        <v>30</v>
      </c>
    </row>
    <row r="384" spans="1:13">
      <c r="A384" s="4" t="s">
        <v>531</v>
      </c>
      <c r="B384" t="s">
        <v>103</v>
      </c>
      <c r="C384" s="2">
        <v>45985</v>
      </c>
      <c r="D384" s="4" t="s">
        <v>52</v>
      </c>
      <c r="E384" s="4" t="s">
        <v>23</v>
      </c>
      <c r="F384" s="6">
        <v>9</v>
      </c>
      <c r="G384" s="6">
        <v>65000</v>
      </c>
      <c r="H384" s="6">
        <v>585000</v>
      </c>
      <c r="I384" s="6">
        <v>51879.199999999997</v>
      </c>
      <c r="J384" s="6">
        <v>118087.2</v>
      </c>
      <c r="K384" t="s">
        <v>33</v>
      </c>
      <c r="L384" t="s">
        <v>53</v>
      </c>
      <c r="M384" t="s">
        <v>34</v>
      </c>
    </row>
    <row r="385" spans="1:13">
      <c r="A385" s="4" t="s">
        <v>532</v>
      </c>
      <c r="B385" t="s">
        <v>174</v>
      </c>
      <c r="C385" s="2">
        <v>45662</v>
      </c>
      <c r="D385" s="4" t="s">
        <v>56</v>
      </c>
      <c r="E385" s="4" t="s">
        <v>23</v>
      </c>
      <c r="F385" s="6">
        <v>6</v>
      </c>
      <c r="G385" s="6">
        <v>30000</v>
      </c>
      <c r="H385" s="6">
        <v>180000</v>
      </c>
      <c r="I385" s="6">
        <v>22864.29</v>
      </c>
      <c r="J385" s="6">
        <v>42814.26</v>
      </c>
      <c r="K385" t="s">
        <v>24</v>
      </c>
      <c r="L385" t="s">
        <v>53</v>
      </c>
      <c r="M385" t="s">
        <v>50</v>
      </c>
    </row>
    <row r="386" spans="1:13">
      <c r="A386" s="4" t="s">
        <v>533</v>
      </c>
      <c r="B386" t="s">
        <v>123</v>
      </c>
      <c r="C386" s="2">
        <v>45702</v>
      </c>
      <c r="D386" s="4" t="s">
        <v>28</v>
      </c>
      <c r="E386" s="4" t="s">
        <v>23</v>
      </c>
      <c r="F386" s="6">
        <v>7</v>
      </c>
      <c r="G386" s="6">
        <v>300000</v>
      </c>
      <c r="H386" s="6">
        <v>2100000</v>
      </c>
      <c r="I386" s="6">
        <v>202609.56</v>
      </c>
      <c r="J386" s="6">
        <f>H386 -(F386 * I386)</f>
        <v>681733.08000000007</v>
      </c>
      <c r="K386" t="s">
        <v>24</v>
      </c>
      <c r="L386" t="s">
        <v>18</v>
      </c>
      <c r="M386" t="s">
        <v>30</v>
      </c>
    </row>
    <row r="387" spans="1:13">
      <c r="A387" s="4" t="s">
        <v>534</v>
      </c>
      <c r="B387" t="s">
        <v>359</v>
      </c>
      <c r="C387" s="2">
        <v>45759</v>
      </c>
      <c r="D387" s="4" t="s">
        <v>37</v>
      </c>
      <c r="E387" s="4" t="s">
        <v>16</v>
      </c>
      <c r="F387" s="6">
        <v>3</v>
      </c>
      <c r="G387" s="6">
        <v>12000</v>
      </c>
      <c r="H387" s="6">
        <v>36000</v>
      </c>
      <c r="I387" s="6">
        <v>7093.1</v>
      </c>
      <c r="J387" s="6">
        <v>14720.7</v>
      </c>
      <c r="K387" t="s">
        <v>33</v>
      </c>
      <c r="L387" t="s">
        <v>53</v>
      </c>
      <c r="M387" t="s">
        <v>30</v>
      </c>
    </row>
    <row r="388" spans="1:13">
      <c r="A388" s="4" t="s">
        <v>535</v>
      </c>
      <c r="B388" t="s">
        <v>536</v>
      </c>
      <c r="C388" s="2">
        <v>45980</v>
      </c>
      <c r="D388" s="4" t="s">
        <v>66</v>
      </c>
      <c r="E388" s="4" t="s">
        <v>49</v>
      </c>
      <c r="F388" s="6">
        <v>7</v>
      </c>
      <c r="G388" s="6">
        <v>120000</v>
      </c>
      <c r="H388" s="6">
        <v>840000</v>
      </c>
      <c r="I388" s="6">
        <v>78712.44</v>
      </c>
      <c r="J388" s="6">
        <v>289012.92</v>
      </c>
      <c r="K388" t="s">
        <v>17</v>
      </c>
      <c r="L388" t="s">
        <v>18</v>
      </c>
      <c r="M388" t="s">
        <v>67</v>
      </c>
    </row>
    <row r="389" spans="1:13">
      <c r="A389" s="4" t="s">
        <v>537</v>
      </c>
      <c r="B389" t="s">
        <v>133</v>
      </c>
      <c r="C389" s="2">
        <v>45724</v>
      </c>
      <c r="D389" s="4" t="s">
        <v>22</v>
      </c>
      <c r="E389" s="4" t="s">
        <v>23</v>
      </c>
      <c r="F389" s="6">
        <v>4</v>
      </c>
      <c r="G389" s="6">
        <v>150000</v>
      </c>
      <c r="H389" s="6">
        <v>600000</v>
      </c>
      <c r="I389" s="6">
        <v>115856.09</v>
      </c>
      <c r="J389" s="6">
        <v>136575.64000000001</v>
      </c>
      <c r="K389" t="s">
        <v>24</v>
      </c>
      <c r="L389" t="s">
        <v>53</v>
      </c>
      <c r="M389" t="s">
        <v>38</v>
      </c>
    </row>
    <row r="390" spans="1:13">
      <c r="A390" s="4" t="s">
        <v>538</v>
      </c>
      <c r="B390" t="s">
        <v>149</v>
      </c>
      <c r="C390" s="2">
        <v>45683</v>
      </c>
      <c r="D390" s="4" t="s">
        <v>539</v>
      </c>
      <c r="E390" s="4" t="s">
        <v>23</v>
      </c>
      <c r="F390" s="6">
        <v>7</v>
      </c>
      <c r="G390" s="6">
        <v>300000</v>
      </c>
      <c r="H390" s="6">
        <v>2100000</v>
      </c>
      <c r="I390" s="6">
        <v>213575.71</v>
      </c>
      <c r="J390" s="6">
        <v>604970.03</v>
      </c>
      <c r="K390" t="s">
        <v>71</v>
      </c>
      <c r="L390" t="s">
        <v>53</v>
      </c>
      <c r="M390" t="s">
        <v>19</v>
      </c>
    </row>
    <row r="391" spans="1:13">
      <c r="A391" s="4" t="s">
        <v>540</v>
      </c>
      <c r="B391" t="s">
        <v>200</v>
      </c>
      <c r="C391" s="2">
        <v>45899</v>
      </c>
      <c r="D391" s="4" t="s">
        <v>15</v>
      </c>
      <c r="E391" s="4" t="s">
        <v>16</v>
      </c>
      <c r="F391" s="6">
        <v>10</v>
      </c>
      <c r="G391" s="6">
        <v>10000</v>
      </c>
      <c r="H391" s="6">
        <v>100000</v>
      </c>
      <c r="I391" s="6">
        <v>6011.54</v>
      </c>
      <c r="J391" s="6">
        <v>39884.6</v>
      </c>
      <c r="K391" t="s">
        <v>71</v>
      </c>
      <c r="L391" t="s">
        <v>29</v>
      </c>
      <c r="M391" t="s">
        <v>67</v>
      </c>
    </row>
    <row r="392" spans="1:13">
      <c r="A392" s="4" t="s">
        <v>541</v>
      </c>
      <c r="B392" t="s">
        <v>299</v>
      </c>
      <c r="C392" s="2">
        <v>45726</v>
      </c>
      <c r="D392" s="4" t="s">
        <v>66</v>
      </c>
      <c r="E392" s="4" t="s">
        <v>49</v>
      </c>
      <c r="F392" s="6">
        <v>6</v>
      </c>
      <c r="G392" s="6">
        <v>175000</v>
      </c>
      <c r="H392" s="6">
        <v>1050000</v>
      </c>
      <c r="I392" s="6">
        <v>118197.3</v>
      </c>
      <c r="J392" s="6">
        <v>340816.2</v>
      </c>
      <c r="K392" t="s">
        <v>80</v>
      </c>
      <c r="L392" t="s">
        <v>18</v>
      </c>
      <c r="M392" t="s">
        <v>30</v>
      </c>
    </row>
    <row r="393" spans="1:13">
      <c r="A393" s="4" t="s">
        <v>542</v>
      </c>
      <c r="B393" t="s">
        <v>205</v>
      </c>
      <c r="C393" s="2">
        <v>45768</v>
      </c>
      <c r="D393" s="4" t="s">
        <v>15</v>
      </c>
      <c r="E393" s="4" t="s">
        <v>16</v>
      </c>
      <c r="F393" s="6">
        <v>6</v>
      </c>
      <c r="G393" s="6">
        <v>8000</v>
      </c>
      <c r="H393" s="6">
        <v>48000</v>
      </c>
      <c r="I393" s="6">
        <v>4818.07</v>
      </c>
      <c r="J393" s="6">
        <v>19091.580000000002</v>
      </c>
      <c r="K393" t="s">
        <v>24</v>
      </c>
      <c r="L393" t="s">
        <v>29</v>
      </c>
      <c r="M393" t="s">
        <v>25</v>
      </c>
    </row>
    <row r="394" spans="1:13">
      <c r="A394" s="4" t="s">
        <v>543</v>
      </c>
      <c r="B394" t="s">
        <v>123</v>
      </c>
      <c r="C394" s="2">
        <v>46005</v>
      </c>
      <c r="D394" s="4" t="s">
        <v>70</v>
      </c>
      <c r="E394" s="4" t="s">
        <v>16</v>
      </c>
      <c r="F394" s="6">
        <v>3</v>
      </c>
      <c r="G394" s="6">
        <v>15000</v>
      </c>
      <c r="H394" s="6">
        <v>45000</v>
      </c>
      <c r="I394" s="6">
        <v>10912.11</v>
      </c>
      <c r="J394" s="6">
        <v>12263.67</v>
      </c>
      <c r="K394" t="s">
        <v>71</v>
      </c>
      <c r="L394" t="s">
        <v>53</v>
      </c>
      <c r="M394" t="s">
        <v>38</v>
      </c>
    </row>
    <row r="395" spans="1:13">
      <c r="A395" s="4" t="s">
        <v>544</v>
      </c>
      <c r="B395" t="s">
        <v>88</v>
      </c>
      <c r="C395" s="2">
        <v>45812</v>
      </c>
      <c r="D395" s="4" t="s">
        <v>106</v>
      </c>
      <c r="E395" s="4" t="s">
        <v>23</v>
      </c>
      <c r="F395" s="6">
        <v>2</v>
      </c>
      <c r="G395" s="6">
        <v>120000</v>
      </c>
      <c r="H395" s="6">
        <v>240000</v>
      </c>
      <c r="I395" s="6">
        <v>78165.78</v>
      </c>
      <c r="J395" s="6">
        <v>83668.44</v>
      </c>
      <c r="K395" t="s">
        <v>80</v>
      </c>
      <c r="L395" t="s">
        <v>18</v>
      </c>
      <c r="M395" t="s">
        <v>19</v>
      </c>
    </row>
    <row r="396" spans="1:13">
      <c r="A396" s="4" t="s">
        <v>545</v>
      </c>
      <c r="B396" t="s">
        <v>365</v>
      </c>
      <c r="C396" s="2">
        <v>45671</v>
      </c>
      <c r="D396" s="4" t="s">
        <v>66</v>
      </c>
      <c r="E396" s="4" t="s">
        <v>49</v>
      </c>
      <c r="F396" s="6">
        <v>6</v>
      </c>
      <c r="G396" s="6">
        <v>175000</v>
      </c>
      <c r="H396" s="6">
        <v>1050000</v>
      </c>
      <c r="I396" s="6">
        <v>125535.65</v>
      </c>
      <c r="J396" s="6">
        <v>296786.09999999998</v>
      </c>
      <c r="K396" t="s">
        <v>33</v>
      </c>
      <c r="L396" t="s">
        <v>53</v>
      </c>
      <c r="M396" t="s">
        <v>25</v>
      </c>
    </row>
    <row r="397" spans="1:13">
      <c r="A397" s="4" t="s">
        <v>546</v>
      </c>
      <c r="B397" t="s">
        <v>205</v>
      </c>
      <c r="C397" s="2">
        <v>45737</v>
      </c>
      <c r="D397" s="4" t="s">
        <v>15</v>
      </c>
      <c r="E397" s="4" t="s">
        <v>16</v>
      </c>
      <c r="F397" s="6">
        <v>2</v>
      </c>
      <c r="G397" s="6">
        <v>10000</v>
      </c>
      <c r="H397" s="6">
        <v>20000</v>
      </c>
      <c r="I397" s="6">
        <v>7826.63</v>
      </c>
      <c r="J397" s="6">
        <v>4346.74</v>
      </c>
      <c r="K397" t="s">
        <v>33</v>
      </c>
      <c r="L397" t="s">
        <v>18</v>
      </c>
      <c r="M397" t="s">
        <v>34</v>
      </c>
    </row>
    <row r="398" spans="1:13">
      <c r="A398" s="4" t="s">
        <v>547</v>
      </c>
      <c r="B398" t="s">
        <v>321</v>
      </c>
      <c r="C398" s="2">
        <v>45690</v>
      </c>
      <c r="D398" s="4" t="s">
        <v>56</v>
      </c>
      <c r="E398" s="4" t="s">
        <v>23</v>
      </c>
      <c r="F398" s="6">
        <v>9</v>
      </c>
      <c r="G398" s="6">
        <v>30000</v>
      </c>
      <c r="H398" s="6">
        <v>270000</v>
      </c>
      <c r="I398" s="6">
        <v>24129</v>
      </c>
      <c r="J398" s="6">
        <v>52839</v>
      </c>
      <c r="K398" t="s">
        <v>80</v>
      </c>
      <c r="L398" t="s">
        <v>53</v>
      </c>
      <c r="M398" t="s">
        <v>19</v>
      </c>
    </row>
    <row r="399" spans="1:13">
      <c r="A399" s="4" t="s">
        <v>548</v>
      </c>
      <c r="B399" t="s">
        <v>127</v>
      </c>
      <c r="C399" s="2">
        <v>45917</v>
      </c>
      <c r="D399" s="4" t="s">
        <v>70</v>
      </c>
      <c r="E399" s="4" t="s">
        <v>16</v>
      </c>
      <c r="F399" s="6">
        <v>5</v>
      </c>
      <c r="G399" s="6">
        <v>35000</v>
      </c>
      <c r="H399" s="6">
        <v>175000</v>
      </c>
      <c r="I399" s="6">
        <v>26286.080000000002</v>
      </c>
      <c r="J399" s="6">
        <v>43569.599999999999</v>
      </c>
      <c r="K399" t="s">
        <v>80</v>
      </c>
      <c r="L399" t="s">
        <v>29</v>
      </c>
      <c r="M399" t="s">
        <v>38</v>
      </c>
    </row>
    <row r="400" spans="1:13">
      <c r="A400" s="4" t="s">
        <v>549</v>
      </c>
      <c r="B400" t="s">
        <v>69</v>
      </c>
      <c r="C400" s="2">
        <v>45959</v>
      </c>
      <c r="D400" s="4" t="s">
        <v>45</v>
      </c>
      <c r="E400" s="4" t="s">
        <v>23</v>
      </c>
      <c r="F400" s="6">
        <v>9</v>
      </c>
      <c r="G400" s="6">
        <v>450000</v>
      </c>
      <c r="H400" s="6">
        <v>4050000</v>
      </c>
      <c r="I400" s="6">
        <v>274301.49</v>
      </c>
      <c r="J400" s="6">
        <v>1581286.59</v>
      </c>
      <c r="K400" t="s">
        <v>17</v>
      </c>
      <c r="L400" t="s">
        <v>29</v>
      </c>
      <c r="M400" t="s">
        <v>38</v>
      </c>
    </row>
    <row r="401" spans="1:13">
      <c r="A401" s="4" t="s">
        <v>550</v>
      </c>
      <c r="B401" t="s">
        <v>156</v>
      </c>
      <c r="C401" s="2">
        <v>45820</v>
      </c>
      <c r="D401" s="4" t="s">
        <v>52</v>
      </c>
      <c r="E401" s="4" t="s">
        <v>23</v>
      </c>
      <c r="F401" s="6">
        <v>3</v>
      </c>
      <c r="G401" s="6">
        <v>85000</v>
      </c>
      <c r="H401" s="6">
        <v>255000</v>
      </c>
      <c r="I401" s="6">
        <v>69062.36</v>
      </c>
      <c r="J401" s="6">
        <v>47812.92</v>
      </c>
      <c r="K401" t="s">
        <v>33</v>
      </c>
      <c r="L401" t="s">
        <v>29</v>
      </c>
      <c r="M401" t="s">
        <v>50</v>
      </c>
    </row>
    <row r="402" spans="1:13">
      <c r="A402" s="4" t="s">
        <v>551</v>
      </c>
      <c r="B402" t="s">
        <v>105</v>
      </c>
      <c r="C402" s="2">
        <v>45809</v>
      </c>
      <c r="D402" s="4" t="s">
        <v>22</v>
      </c>
      <c r="E402" s="4" t="s">
        <v>23</v>
      </c>
      <c r="F402" s="6">
        <v>4</v>
      </c>
      <c r="G402" s="6">
        <v>280000</v>
      </c>
      <c r="H402" s="6">
        <v>1120000</v>
      </c>
      <c r="I402" s="6">
        <v>167339.65</v>
      </c>
      <c r="J402" s="6">
        <v>450641.4</v>
      </c>
      <c r="K402" t="s">
        <v>71</v>
      </c>
      <c r="L402" t="s">
        <v>29</v>
      </c>
      <c r="M402" t="s">
        <v>38</v>
      </c>
    </row>
    <row r="403" spans="1:13">
      <c r="A403" s="4" t="s">
        <v>552</v>
      </c>
      <c r="B403" t="s">
        <v>96</v>
      </c>
      <c r="C403" s="2">
        <v>45841</v>
      </c>
      <c r="D403" s="4" t="s">
        <v>48</v>
      </c>
      <c r="E403" s="4" t="s">
        <v>49</v>
      </c>
      <c r="F403" s="6">
        <v>6</v>
      </c>
      <c r="G403" s="6">
        <v>200000</v>
      </c>
      <c r="H403" s="6">
        <v>1200000</v>
      </c>
      <c r="I403" s="6">
        <v>130535.75</v>
      </c>
      <c r="J403" s="6">
        <v>416785.5</v>
      </c>
      <c r="K403" t="s">
        <v>17</v>
      </c>
      <c r="L403" t="s">
        <v>29</v>
      </c>
      <c r="M403" t="s">
        <v>25</v>
      </c>
    </row>
    <row r="404" spans="1:13">
      <c r="A404" s="4" t="s">
        <v>553</v>
      </c>
      <c r="B404" t="s">
        <v>32</v>
      </c>
      <c r="C404" s="2">
        <v>45728</v>
      </c>
      <c r="D404" s="4" t="s">
        <v>63</v>
      </c>
      <c r="E404" s="4" t="s">
        <v>16</v>
      </c>
      <c r="F404" s="6">
        <v>2</v>
      </c>
      <c r="G404" s="6">
        <v>3000</v>
      </c>
      <c r="H404" s="6">
        <v>6000</v>
      </c>
      <c r="I404" s="6">
        <v>2056.16</v>
      </c>
      <c r="J404" s="6">
        <v>1887.68</v>
      </c>
      <c r="K404" t="s">
        <v>17</v>
      </c>
      <c r="L404" t="s">
        <v>53</v>
      </c>
      <c r="M404" t="s">
        <v>34</v>
      </c>
    </row>
    <row r="405" spans="1:13">
      <c r="A405" s="4" t="s">
        <v>554</v>
      </c>
      <c r="B405" t="s">
        <v>92</v>
      </c>
      <c r="C405" s="2">
        <v>45990</v>
      </c>
      <c r="D405" s="4" t="s">
        <v>106</v>
      </c>
      <c r="E405" s="4" t="s">
        <v>23</v>
      </c>
      <c r="F405" s="6">
        <v>7</v>
      </c>
      <c r="G405" s="6">
        <v>120000</v>
      </c>
      <c r="H405" s="6">
        <v>840000</v>
      </c>
      <c r="I405" s="6">
        <v>97818.03</v>
      </c>
      <c r="J405" s="6">
        <v>155273.79</v>
      </c>
      <c r="K405" t="s">
        <v>17</v>
      </c>
      <c r="L405" t="s">
        <v>29</v>
      </c>
      <c r="M405" t="s">
        <v>30</v>
      </c>
    </row>
    <row r="406" spans="1:13">
      <c r="A406" s="4" t="s">
        <v>555</v>
      </c>
      <c r="B406" t="s">
        <v>266</v>
      </c>
      <c r="C406" s="2">
        <v>45677</v>
      </c>
      <c r="D406" s="4" t="s">
        <v>22</v>
      </c>
      <c r="E406" s="4" t="s">
        <v>23</v>
      </c>
      <c r="F406" s="6">
        <v>12</v>
      </c>
      <c r="G406" s="6">
        <v>210000</v>
      </c>
      <c r="H406" s="6">
        <v>2520000</v>
      </c>
      <c r="I406" s="6">
        <v>168706.52</v>
      </c>
      <c r="J406" s="6">
        <v>495521.76</v>
      </c>
      <c r="K406" t="s">
        <v>33</v>
      </c>
      <c r="L406" t="s">
        <v>18</v>
      </c>
      <c r="M406" t="s">
        <v>25</v>
      </c>
    </row>
    <row r="407" spans="1:13">
      <c r="A407" s="4" t="s">
        <v>556</v>
      </c>
      <c r="B407" t="s">
        <v>133</v>
      </c>
      <c r="C407" s="2">
        <v>45806</v>
      </c>
      <c r="D407" s="4" t="s">
        <v>28</v>
      </c>
      <c r="E407" s="4" t="s">
        <v>23</v>
      </c>
      <c r="F407" s="6">
        <v>11</v>
      </c>
      <c r="G407" s="6">
        <v>220000</v>
      </c>
      <c r="H407" s="6">
        <v>2420000</v>
      </c>
      <c r="I407" s="6">
        <v>159626.68</v>
      </c>
      <c r="J407" s="6">
        <v>664106.52</v>
      </c>
      <c r="K407" t="s">
        <v>80</v>
      </c>
      <c r="L407" t="s">
        <v>29</v>
      </c>
      <c r="M407" t="s">
        <v>30</v>
      </c>
    </row>
    <row r="408" spans="1:13">
      <c r="A408" s="4" t="s">
        <v>557</v>
      </c>
      <c r="B408" t="s">
        <v>176</v>
      </c>
      <c r="C408" s="2">
        <v>45962</v>
      </c>
      <c r="D408" s="4" t="s">
        <v>45</v>
      </c>
      <c r="E408" s="4" t="s">
        <v>23</v>
      </c>
      <c r="F408" s="6">
        <v>12</v>
      </c>
      <c r="G408" s="6">
        <v>450000</v>
      </c>
      <c r="H408" s="6">
        <v>5400000</v>
      </c>
      <c r="I408" s="6">
        <v>325031.74</v>
      </c>
      <c r="J408" s="6">
        <v>1499619.12</v>
      </c>
      <c r="K408" t="s">
        <v>33</v>
      </c>
      <c r="L408" t="s">
        <v>53</v>
      </c>
      <c r="M408" t="s">
        <v>38</v>
      </c>
    </row>
    <row r="409" spans="1:13">
      <c r="A409" s="4" t="s">
        <v>558</v>
      </c>
      <c r="B409" t="s">
        <v>159</v>
      </c>
      <c r="C409" s="2">
        <v>45794</v>
      </c>
      <c r="D409" s="4" t="s">
        <v>70</v>
      </c>
      <c r="E409" s="4" t="s">
        <v>16</v>
      </c>
      <c r="F409" s="6">
        <v>1</v>
      </c>
      <c r="G409" s="6">
        <v>35000</v>
      </c>
      <c r="H409" s="6">
        <v>35000</v>
      </c>
      <c r="I409" s="6">
        <v>24245.48</v>
      </c>
      <c r="J409" s="6">
        <v>10754.52</v>
      </c>
      <c r="K409" t="s">
        <v>24</v>
      </c>
      <c r="L409" t="s">
        <v>29</v>
      </c>
      <c r="M409" t="s">
        <v>25</v>
      </c>
    </row>
    <row r="410" spans="1:13">
      <c r="A410" s="4" t="s">
        <v>559</v>
      </c>
      <c r="B410" t="s">
        <v>36</v>
      </c>
      <c r="C410" s="2">
        <v>46009</v>
      </c>
      <c r="D410" s="4" t="s">
        <v>48</v>
      </c>
      <c r="E410" s="4" t="s">
        <v>49</v>
      </c>
      <c r="F410" s="6">
        <v>12</v>
      </c>
      <c r="G410" s="6">
        <v>200000</v>
      </c>
      <c r="H410" s="6">
        <v>2400000</v>
      </c>
      <c r="I410" s="6">
        <v>151377.81</v>
      </c>
      <c r="J410" s="6">
        <v>583466.28</v>
      </c>
      <c r="K410" t="s">
        <v>24</v>
      </c>
      <c r="L410" t="s">
        <v>29</v>
      </c>
      <c r="M410" t="s">
        <v>67</v>
      </c>
    </row>
    <row r="411" spans="1:13">
      <c r="A411" s="4" t="s">
        <v>560</v>
      </c>
      <c r="B411" t="s">
        <v>111</v>
      </c>
      <c r="C411" s="2">
        <v>45824</v>
      </c>
      <c r="D411" s="4" t="s">
        <v>70</v>
      </c>
      <c r="E411" s="4" t="s">
        <v>16</v>
      </c>
      <c r="F411" s="6">
        <v>2</v>
      </c>
      <c r="G411" s="6">
        <v>35000</v>
      </c>
      <c r="H411" s="6">
        <v>70000</v>
      </c>
      <c r="I411" s="6">
        <v>25138.12</v>
      </c>
      <c r="J411" s="6">
        <v>19723.759999999998</v>
      </c>
      <c r="K411" t="s">
        <v>24</v>
      </c>
      <c r="L411" t="s">
        <v>53</v>
      </c>
      <c r="M411" t="s">
        <v>34</v>
      </c>
    </row>
    <row r="412" spans="1:13">
      <c r="A412" s="4" t="s">
        <v>561</v>
      </c>
      <c r="B412" t="s">
        <v>21</v>
      </c>
      <c r="C412" s="2">
        <v>45661</v>
      </c>
      <c r="D412" s="4" t="s">
        <v>48</v>
      </c>
      <c r="E412" s="4" t="s">
        <v>49</v>
      </c>
      <c r="F412" s="6">
        <v>7</v>
      </c>
      <c r="G412" s="6">
        <v>200000</v>
      </c>
      <c r="H412" s="6">
        <v>1400000</v>
      </c>
      <c r="I412" s="6">
        <v>125860.1</v>
      </c>
      <c r="J412" s="6">
        <v>518979.3</v>
      </c>
      <c r="K412" t="s">
        <v>24</v>
      </c>
      <c r="L412" t="s">
        <v>29</v>
      </c>
      <c r="M412" t="s">
        <v>67</v>
      </c>
    </row>
    <row r="413" spans="1:13">
      <c r="A413" s="4" t="s">
        <v>562</v>
      </c>
      <c r="B413" t="s">
        <v>234</v>
      </c>
      <c r="C413" s="2">
        <v>45941</v>
      </c>
      <c r="D413" s="4" t="s">
        <v>56</v>
      </c>
      <c r="E413" s="4" t="s">
        <v>23</v>
      </c>
      <c r="F413" s="6">
        <v>11</v>
      </c>
      <c r="G413" s="6">
        <v>30000</v>
      </c>
      <c r="H413" s="6">
        <v>330000</v>
      </c>
      <c r="I413" s="6">
        <v>18846.400000000001</v>
      </c>
      <c r="J413" s="6">
        <v>122689.60000000001</v>
      </c>
      <c r="K413" t="s">
        <v>24</v>
      </c>
      <c r="L413" t="s">
        <v>18</v>
      </c>
      <c r="M413" t="s">
        <v>19</v>
      </c>
    </row>
    <row r="414" spans="1:13">
      <c r="A414" s="4" t="s">
        <v>563</v>
      </c>
      <c r="B414" t="s">
        <v>77</v>
      </c>
      <c r="C414" s="2">
        <v>45761</v>
      </c>
      <c r="D414" s="4" t="s">
        <v>37</v>
      </c>
      <c r="E414" s="4" t="s">
        <v>16</v>
      </c>
      <c r="F414" s="6">
        <v>9</v>
      </c>
      <c r="G414" s="6">
        <v>18000</v>
      </c>
      <c r="H414" s="6">
        <v>162000</v>
      </c>
      <c r="I414" s="6">
        <v>14470.66</v>
      </c>
      <c r="J414" s="6">
        <v>31764.06</v>
      </c>
      <c r="K414" t="s">
        <v>24</v>
      </c>
      <c r="L414" t="s">
        <v>53</v>
      </c>
      <c r="M414" t="s">
        <v>67</v>
      </c>
    </row>
    <row r="415" spans="1:13">
      <c r="A415" s="4" t="s">
        <v>564</v>
      </c>
      <c r="B415" t="s">
        <v>245</v>
      </c>
      <c r="C415" s="2">
        <v>45995</v>
      </c>
      <c r="D415" s="4" t="s">
        <v>56</v>
      </c>
      <c r="E415" s="4" t="s">
        <v>23</v>
      </c>
      <c r="F415" s="6">
        <v>11</v>
      </c>
      <c r="G415" s="6">
        <v>30000</v>
      </c>
      <c r="H415" s="6">
        <v>330000</v>
      </c>
      <c r="I415" s="6">
        <v>21923.39</v>
      </c>
      <c r="J415" s="6">
        <v>88842.71</v>
      </c>
      <c r="K415" t="s">
        <v>17</v>
      </c>
      <c r="L415" t="s">
        <v>29</v>
      </c>
      <c r="M415" t="s">
        <v>34</v>
      </c>
    </row>
    <row r="416" spans="1:13">
      <c r="A416" s="4" t="s">
        <v>565</v>
      </c>
      <c r="B416" t="s">
        <v>205</v>
      </c>
      <c r="C416" s="2">
        <v>45921</v>
      </c>
      <c r="D416" s="4" t="s">
        <v>70</v>
      </c>
      <c r="E416" s="4" t="s">
        <v>16</v>
      </c>
      <c r="F416" s="6">
        <v>6</v>
      </c>
      <c r="G416" s="6">
        <v>15000</v>
      </c>
      <c r="H416" s="6">
        <v>90000</v>
      </c>
      <c r="I416" s="6">
        <v>10143</v>
      </c>
      <c r="J416" s="6">
        <v>29142</v>
      </c>
      <c r="K416" t="s">
        <v>17</v>
      </c>
      <c r="L416" t="s">
        <v>53</v>
      </c>
      <c r="M416" t="s">
        <v>30</v>
      </c>
    </row>
    <row r="417" spans="1:13">
      <c r="A417" s="4" t="s">
        <v>566</v>
      </c>
      <c r="B417" t="s">
        <v>62</v>
      </c>
      <c r="C417" s="2">
        <v>46013</v>
      </c>
      <c r="D417" s="4" t="s">
        <v>56</v>
      </c>
      <c r="E417" s="4" t="s">
        <v>23</v>
      </c>
      <c r="F417" s="6">
        <v>11</v>
      </c>
      <c r="G417" s="6">
        <v>45000</v>
      </c>
      <c r="H417" s="6">
        <v>495000</v>
      </c>
      <c r="I417" s="6">
        <v>36551.839999999997</v>
      </c>
      <c r="J417" s="6">
        <v>92929.76</v>
      </c>
      <c r="K417" t="s">
        <v>24</v>
      </c>
      <c r="L417" t="s">
        <v>29</v>
      </c>
      <c r="M417" t="s">
        <v>19</v>
      </c>
    </row>
    <row r="418" spans="1:13">
      <c r="A418" s="4" t="s">
        <v>567</v>
      </c>
      <c r="B418" t="s">
        <v>331</v>
      </c>
      <c r="C418" s="2">
        <v>45850</v>
      </c>
      <c r="D418" s="4" t="s">
        <v>37</v>
      </c>
      <c r="E418" s="4" t="s">
        <v>16</v>
      </c>
      <c r="F418" s="6">
        <v>7</v>
      </c>
      <c r="G418" s="6">
        <v>18000</v>
      </c>
      <c r="H418" s="6">
        <v>126000</v>
      </c>
      <c r="I418" s="6">
        <v>11912.67</v>
      </c>
      <c r="J418" s="6">
        <v>42611.31</v>
      </c>
      <c r="K418" t="s">
        <v>24</v>
      </c>
      <c r="L418" t="s">
        <v>18</v>
      </c>
      <c r="M418" t="s">
        <v>19</v>
      </c>
    </row>
    <row r="419" spans="1:13">
      <c r="A419" s="4" t="s">
        <v>568</v>
      </c>
      <c r="B419" t="s">
        <v>55</v>
      </c>
      <c r="C419" s="2">
        <v>45811</v>
      </c>
      <c r="D419" s="4" t="s">
        <v>22</v>
      </c>
      <c r="E419" s="4" t="s">
        <v>23</v>
      </c>
      <c r="F419" s="6">
        <v>8</v>
      </c>
      <c r="G419" s="6">
        <v>150000</v>
      </c>
      <c r="H419" s="6">
        <v>1200000</v>
      </c>
      <c r="I419" s="6">
        <v>100260.88</v>
      </c>
      <c r="J419" s="6">
        <v>397912.96</v>
      </c>
      <c r="K419" t="s">
        <v>17</v>
      </c>
      <c r="L419" t="s">
        <v>29</v>
      </c>
      <c r="M419" t="s">
        <v>25</v>
      </c>
    </row>
    <row r="420" spans="1:13">
      <c r="A420" s="4" t="s">
        <v>569</v>
      </c>
      <c r="B420" t="s">
        <v>127</v>
      </c>
      <c r="C420" s="2">
        <v>45850</v>
      </c>
      <c r="D420" s="4" t="s">
        <v>63</v>
      </c>
      <c r="E420" s="4" t="s">
        <v>16</v>
      </c>
      <c r="F420" s="6">
        <v>10</v>
      </c>
      <c r="G420" s="6">
        <v>5000</v>
      </c>
      <c r="H420" s="6">
        <v>50000</v>
      </c>
      <c r="I420" s="6">
        <v>3364.1</v>
      </c>
      <c r="J420" s="6">
        <v>16359</v>
      </c>
      <c r="K420" t="s">
        <v>17</v>
      </c>
      <c r="L420" t="s">
        <v>53</v>
      </c>
      <c r="M420" t="s">
        <v>30</v>
      </c>
    </row>
    <row r="421" spans="1:13">
      <c r="A421" s="4" t="s">
        <v>570</v>
      </c>
      <c r="B421" t="s">
        <v>133</v>
      </c>
      <c r="C421" s="2">
        <v>45723</v>
      </c>
      <c r="D421" s="4" t="s">
        <v>63</v>
      </c>
      <c r="E421" s="4" t="s">
        <v>16</v>
      </c>
      <c r="F421" s="6">
        <v>11</v>
      </c>
      <c r="G421" s="6">
        <v>7000</v>
      </c>
      <c r="H421" s="6">
        <v>77000</v>
      </c>
      <c r="I421" s="6">
        <v>4454.0200000000004</v>
      </c>
      <c r="J421" s="6">
        <v>28005.78</v>
      </c>
      <c r="K421" t="s">
        <v>33</v>
      </c>
      <c r="L421" t="s">
        <v>53</v>
      </c>
      <c r="M421" t="s">
        <v>50</v>
      </c>
    </row>
    <row r="422" spans="1:13">
      <c r="A422" s="4" t="s">
        <v>571</v>
      </c>
      <c r="B422" t="s">
        <v>58</v>
      </c>
      <c r="C422" s="2">
        <v>45679</v>
      </c>
      <c r="D422" s="4" t="s">
        <v>52</v>
      </c>
      <c r="E422" s="4" t="s">
        <v>23</v>
      </c>
      <c r="F422" s="6">
        <v>12</v>
      </c>
      <c r="G422" s="6">
        <v>85000</v>
      </c>
      <c r="H422" s="6">
        <v>1020000</v>
      </c>
      <c r="I422" s="6">
        <v>59926.9</v>
      </c>
      <c r="J422" s="6">
        <v>300877.2</v>
      </c>
      <c r="K422" t="s">
        <v>80</v>
      </c>
      <c r="L422" t="s">
        <v>18</v>
      </c>
      <c r="M422" t="s">
        <v>19</v>
      </c>
    </row>
    <row r="423" spans="1:13">
      <c r="A423" s="4" t="s">
        <v>572</v>
      </c>
      <c r="B423" t="s">
        <v>21</v>
      </c>
      <c r="C423" s="2">
        <v>45664</v>
      </c>
      <c r="D423" s="4" t="s">
        <v>70</v>
      </c>
      <c r="E423" s="4" t="s">
        <v>16</v>
      </c>
      <c r="F423" s="6">
        <v>5</v>
      </c>
      <c r="G423" s="6">
        <v>22000</v>
      </c>
      <c r="H423" s="6">
        <v>110000</v>
      </c>
      <c r="I423" s="6">
        <v>14776.98</v>
      </c>
      <c r="J423" s="6">
        <v>36115.1</v>
      </c>
      <c r="K423" t="s">
        <v>33</v>
      </c>
      <c r="L423" t="s">
        <v>18</v>
      </c>
      <c r="M423" t="s">
        <v>67</v>
      </c>
    </row>
    <row r="424" spans="1:13">
      <c r="A424" s="4" t="s">
        <v>573</v>
      </c>
      <c r="B424" t="s">
        <v>111</v>
      </c>
      <c r="C424" s="2">
        <v>46007</v>
      </c>
      <c r="D424" s="4" t="s">
        <v>56</v>
      </c>
      <c r="E424" s="4" t="s">
        <v>23</v>
      </c>
      <c r="F424" s="6">
        <v>5</v>
      </c>
      <c r="G424" s="6">
        <v>30000</v>
      </c>
      <c r="H424" s="6">
        <v>150000</v>
      </c>
      <c r="I424" s="6">
        <v>22480.63</v>
      </c>
      <c r="J424" s="6">
        <v>37596.85</v>
      </c>
      <c r="K424" t="s">
        <v>33</v>
      </c>
      <c r="L424" t="s">
        <v>29</v>
      </c>
      <c r="M424" t="s">
        <v>67</v>
      </c>
    </row>
    <row r="425" spans="1:13">
      <c r="A425" s="4" t="s">
        <v>574</v>
      </c>
      <c r="B425" t="s">
        <v>512</v>
      </c>
      <c r="C425" s="2">
        <v>45833</v>
      </c>
      <c r="D425" s="4" t="s">
        <v>22</v>
      </c>
      <c r="E425" s="4" t="s">
        <v>23</v>
      </c>
      <c r="F425" s="6">
        <v>6</v>
      </c>
      <c r="G425" s="6">
        <v>150000</v>
      </c>
      <c r="H425" s="6">
        <v>900000</v>
      </c>
      <c r="I425" s="6">
        <v>104955.72</v>
      </c>
      <c r="J425" s="6">
        <v>270265.68</v>
      </c>
      <c r="K425" t="s">
        <v>80</v>
      </c>
      <c r="L425" t="s">
        <v>18</v>
      </c>
      <c r="M425" t="s">
        <v>34</v>
      </c>
    </row>
    <row r="426" spans="1:13">
      <c r="A426" s="4" t="s">
        <v>575</v>
      </c>
      <c r="B426" t="s">
        <v>292</v>
      </c>
      <c r="C426" s="2">
        <v>46001</v>
      </c>
      <c r="D426" s="4" t="s">
        <v>45</v>
      </c>
      <c r="E426" s="4" t="s">
        <v>23</v>
      </c>
      <c r="F426" s="6">
        <v>2</v>
      </c>
      <c r="G426" s="6">
        <v>450000</v>
      </c>
      <c r="H426" s="6">
        <v>900000</v>
      </c>
      <c r="I426" s="6">
        <v>351205.07</v>
      </c>
      <c r="J426" s="6">
        <v>197589.86</v>
      </c>
      <c r="K426" t="s">
        <v>80</v>
      </c>
      <c r="L426" t="s">
        <v>53</v>
      </c>
      <c r="M426" t="s">
        <v>67</v>
      </c>
    </row>
    <row r="427" spans="1:13">
      <c r="A427" s="4" t="s">
        <v>576</v>
      </c>
      <c r="B427" t="s">
        <v>92</v>
      </c>
      <c r="C427" s="2">
        <v>45811</v>
      </c>
      <c r="D427" s="4" t="s">
        <v>56</v>
      </c>
      <c r="E427" s="4" t="s">
        <v>23</v>
      </c>
      <c r="F427" s="6">
        <v>10</v>
      </c>
      <c r="G427" s="6">
        <v>45000</v>
      </c>
      <c r="H427" s="6">
        <v>450000</v>
      </c>
      <c r="I427" s="6">
        <v>31579</v>
      </c>
      <c r="J427" s="6">
        <v>134210</v>
      </c>
      <c r="K427" t="s">
        <v>33</v>
      </c>
      <c r="L427" t="s">
        <v>29</v>
      </c>
      <c r="M427" t="s">
        <v>38</v>
      </c>
    </row>
    <row r="428" spans="1:13">
      <c r="A428" s="4" t="s">
        <v>577</v>
      </c>
      <c r="B428" t="s">
        <v>121</v>
      </c>
      <c r="C428" s="2">
        <v>45807</v>
      </c>
      <c r="D428" s="4" t="s">
        <v>52</v>
      </c>
      <c r="E428" s="4" t="s">
        <v>23</v>
      </c>
      <c r="F428" s="6">
        <v>12</v>
      </c>
      <c r="G428" s="6">
        <v>85000</v>
      </c>
      <c r="H428" s="6">
        <v>1020000</v>
      </c>
      <c r="I428" s="6">
        <v>49856.88</v>
      </c>
      <c r="J428" s="6">
        <v>421717.44</v>
      </c>
      <c r="K428" t="s">
        <v>17</v>
      </c>
      <c r="L428" t="s">
        <v>53</v>
      </c>
      <c r="M428" t="s">
        <v>25</v>
      </c>
    </row>
    <row r="429" spans="1:13">
      <c r="A429" s="4" t="s">
        <v>578</v>
      </c>
      <c r="B429" t="s">
        <v>151</v>
      </c>
      <c r="C429" s="2">
        <v>45970</v>
      </c>
      <c r="D429" s="4" t="s">
        <v>106</v>
      </c>
      <c r="E429" s="4" t="s">
        <v>23</v>
      </c>
      <c r="F429" s="6">
        <v>11</v>
      </c>
      <c r="G429" s="6">
        <v>200000</v>
      </c>
      <c r="H429" s="6">
        <v>2200000</v>
      </c>
      <c r="I429" s="6">
        <v>149592.65</v>
      </c>
      <c r="J429" s="6">
        <v>554480.85</v>
      </c>
      <c r="K429" t="s">
        <v>33</v>
      </c>
      <c r="L429" t="s">
        <v>53</v>
      </c>
      <c r="M429" t="s">
        <v>30</v>
      </c>
    </row>
    <row r="430" spans="1:13">
      <c r="A430" s="4" t="s">
        <v>579</v>
      </c>
      <c r="B430" t="s">
        <v>205</v>
      </c>
      <c r="C430" s="2">
        <v>45926</v>
      </c>
      <c r="D430" s="4" t="s">
        <v>56</v>
      </c>
      <c r="E430" s="4" t="s">
        <v>23</v>
      </c>
      <c r="F430" s="6">
        <v>5</v>
      </c>
      <c r="G430" s="6">
        <v>45000</v>
      </c>
      <c r="H430" s="6">
        <v>225000</v>
      </c>
      <c r="I430" s="6">
        <v>27647.59</v>
      </c>
      <c r="J430" s="6">
        <v>86762.05</v>
      </c>
      <c r="K430" t="s">
        <v>33</v>
      </c>
      <c r="L430" t="s">
        <v>18</v>
      </c>
      <c r="M430" t="s">
        <v>50</v>
      </c>
    </row>
    <row r="431" spans="1:13">
      <c r="A431" s="4" t="s">
        <v>580</v>
      </c>
      <c r="B431" t="s">
        <v>100</v>
      </c>
      <c r="C431" s="2">
        <v>45940</v>
      </c>
      <c r="D431" s="4" t="s">
        <v>45</v>
      </c>
      <c r="E431" s="4" t="s">
        <v>23</v>
      </c>
      <c r="F431" s="6">
        <v>5</v>
      </c>
      <c r="G431" s="6">
        <v>650000</v>
      </c>
      <c r="H431" s="6">
        <v>3250000</v>
      </c>
      <c r="I431" s="6">
        <v>516461.81</v>
      </c>
      <c r="J431" s="6">
        <v>667690.94999999995</v>
      </c>
      <c r="K431" t="s">
        <v>80</v>
      </c>
      <c r="L431" t="s">
        <v>18</v>
      </c>
      <c r="M431" t="s">
        <v>34</v>
      </c>
    </row>
    <row r="432" spans="1:13">
      <c r="A432" s="4" t="s">
        <v>581</v>
      </c>
      <c r="B432" t="s">
        <v>113</v>
      </c>
      <c r="C432" s="2">
        <v>45924</v>
      </c>
      <c r="D432" s="4" t="s">
        <v>37</v>
      </c>
      <c r="E432" s="4" t="s">
        <v>16</v>
      </c>
      <c r="F432" s="6">
        <v>7</v>
      </c>
      <c r="G432" s="6">
        <v>25000</v>
      </c>
      <c r="H432" s="6">
        <v>175000</v>
      </c>
      <c r="I432" s="6">
        <v>19873.47</v>
      </c>
      <c r="J432" s="6">
        <v>35885.71</v>
      </c>
      <c r="K432" t="s">
        <v>17</v>
      </c>
      <c r="L432" t="s">
        <v>18</v>
      </c>
      <c r="M432" t="s">
        <v>67</v>
      </c>
    </row>
    <row r="433" spans="1:13">
      <c r="A433" s="4" t="s">
        <v>582</v>
      </c>
      <c r="B433" t="s">
        <v>135</v>
      </c>
      <c r="C433" s="2">
        <v>45879</v>
      </c>
      <c r="D433" s="4" t="s">
        <v>45</v>
      </c>
      <c r="E433" s="4" t="s">
        <v>23</v>
      </c>
      <c r="F433" s="6">
        <v>12</v>
      </c>
      <c r="G433" s="6">
        <v>520000</v>
      </c>
      <c r="H433" s="6">
        <v>6240000</v>
      </c>
      <c r="I433" s="6">
        <v>376943.46</v>
      </c>
      <c r="J433" s="6">
        <v>1716678.48</v>
      </c>
      <c r="K433" t="s">
        <v>17</v>
      </c>
      <c r="L433" t="s">
        <v>53</v>
      </c>
      <c r="M433" t="s">
        <v>38</v>
      </c>
    </row>
    <row r="434" spans="1:13">
      <c r="A434" s="4" t="s">
        <v>583</v>
      </c>
      <c r="B434" t="s">
        <v>222</v>
      </c>
      <c r="C434" s="2">
        <v>46009</v>
      </c>
      <c r="D434" s="4" t="s">
        <v>106</v>
      </c>
      <c r="E434" s="4" t="s">
        <v>23</v>
      </c>
      <c r="F434" s="6">
        <v>10</v>
      </c>
      <c r="G434" s="6">
        <v>120000</v>
      </c>
      <c r="H434" s="6">
        <v>1200000</v>
      </c>
      <c r="I434" s="6">
        <v>81288.94</v>
      </c>
      <c r="J434" s="6">
        <v>387110.6</v>
      </c>
      <c r="K434" t="s">
        <v>71</v>
      </c>
      <c r="L434" t="s">
        <v>53</v>
      </c>
      <c r="M434" t="s">
        <v>67</v>
      </c>
    </row>
    <row r="435" spans="1:13">
      <c r="A435" s="4" t="s">
        <v>584</v>
      </c>
      <c r="B435" t="s">
        <v>499</v>
      </c>
      <c r="C435" s="2">
        <v>45741</v>
      </c>
      <c r="D435" s="4" t="s">
        <v>37</v>
      </c>
      <c r="E435" s="4" t="s">
        <v>16</v>
      </c>
      <c r="F435" s="6">
        <v>3</v>
      </c>
      <c r="G435" s="6">
        <v>18000</v>
      </c>
      <c r="H435" s="6">
        <v>54000</v>
      </c>
      <c r="I435" s="6">
        <v>10547.08</v>
      </c>
      <c r="J435" s="6">
        <v>22358.76</v>
      </c>
      <c r="K435" t="s">
        <v>24</v>
      </c>
      <c r="L435" t="s">
        <v>29</v>
      </c>
      <c r="M435" t="s">
        <v>34</v>
      </c>
    </row>
    <row r="436" spans="1:13">
      <c r="A436" s="4" t="s">
        <v>585</v>
      </c>
      <c r="B436" t="s">
        <v>423</v>
      </c>
      <c r="C436" s="2">
        <v>45707</v>
      </c>
      <c r="D436" s="4" t="s">
        <v>28</v>
      </c>
      <c r="E436" s="4" t="s">
        <v>23</v>
      </c>
      <c r="F436" s="6">
        <v>11</v>
      </c>
      <c r="G436" s="6">
        <v>180000</v>
      </c>
      <c r="H436" s="6">
        <v>1980000</v>
      </c>
      <c r="I436" s="6">
        <v>104494.91</v>
      </c>
      <c r="J436" s="6">
        <v>830555.99</v>
      </c>
      <c r="K436" t="s">
        <v>24</v>
      </c>
      <c r="L436" t="s">
        <v>18</v>
      </c>
      <c r="M436" t="s">
        <v>25</v>
      </c>
    </row>
    <row r="437" spans="1:13">
      <c r="A437" s="4" t="s">
        <v>586</v>
      </c>
      <c r="B437" t="s">
        <v>331</v>
      </c>
      <c r="C437" s="2">
        <v>46005</v>
      </c>
      <c r="D437" s="4" t="s">
        <v>45</v>
      </c>
      <c r="E437" s="4" t="s">
        <v>23</v>
      </c>
      <c r="F437" s="6">
        <v>11</v>
      </c>
      <c r="G437" s="6">
        <v>520000</v>
      </c>
      <c r="H437" s="6">
        <v>5720000</v>
      </c>
      <c r="I437" s="6">
        <v>366751.12</v>
      </c>
      <c r="J437" s="6">
        <v>1685737.68</v>
      </c>
      <c r="K437" t="s">
        <v>17</v>
      </c>
      <c r="L437" t="s">
        <v>18</v>
      </c>
      <c r="M437" t="s">
        <v>25</v>
      </c>
    </row>
    <row r="438" spans="1:13">
      <c r="A438" s="4" t="s">
        <v>587</v>
      </c>
      <c r="B438" t="s">
        <v>117</v>
      </c>
      <c r="C438" s="2">
        <v>45991</v>
      </c>
      <c r="D438" s="4" t="s">
        <v>48</v>
      </c>
      <c r="E438" s="4" t="s">
        <v>49</v>
      </c>
      <c r="F438" s="6">
        <v>8</v>
      </c>
      <c r="G438" s="6">
        <v>140000</v>
      </c>
      <c r="H438" s="6">
        <v>1120000</v>
      </c>
      <c r="I438" s="6">
        <v>87298.04</v>
      </c>
      <c r="J438" s="6">
        <v>421615.68</v>
      </c>
      <c r="K438" t="s">
        <v>80</v>
      </c>
      <c r="L438" t="s">
        <v>18</v>
      </c>
      <c r="M438" t="s">
        <v>34</v>
      </c>
    </row>
    <row r="439" spans="1:13">
      <c r="A439" s="4" t="s">
        <v>588</v>
      </c>
      <c r="B439" t="s">
        <v>156</v>
      </c>
      <c r="C439" s="2">
        <v>45985</v>
      </c>
      <c r="D439" s="4" t="s">
        <v>28</v>
      </c>
      <c r="E439" s="4" t="s">
        <v>23</v>
      </c>
      <c r="F439" s="6">
        <v>8</v>
      </c>
      <c r="G439" s="6">
        <v>220000</v>
      </c>
      <c r="H439" s="6">
        <v>1760000</v>
      </c>
      <c r="I439" s="6">
        <v>168222.16</v>
      </c>
      <c r="J439" s="6">
        <v>414222.72</v>
      </c>
      <c r="K439" t="s">
        <v>24</v>
      </c>
      <c r="L439" t="s">
        <v>29</v>
      </c>
      <c r="M439" t="s">
        <v>50</v>
      </c>
    </row>
    <row r="440" spans="1:13">
      <c r="A440" s="4" t="s">
        <v>589</v>
      </c>
      <c r="B440" t="s">
        <v>423</v>
      </c>
      <c r="C440" s="2">
        <v>45952</v>
      </c>
      <c r="D440" s="4" t="s">
        <v>45</v>
      </c>
      <c r="E440" s="4" t="s">
        <v>23</v>
      </c>
      <c r="F440" s="6">
        <v>7</v>
      </c>
      <c r="G440" s="6">
        <v>520000</v>
      </c>
      <c r="H440" s="6">
        <v>3640000</v>
      </c>
      <c r="I440" s="6">
        <v>302335.83</v>
      </c>
      <c r="J440" s="6">
        <v>1523649.19</v>
      </c>
      <c r="K440" t="s">
        <v>24</v>
      </c>
      <c r="L440" t="s">
        <v>29</v>
      </c>
      <c r="M440" t="s">
        <v>34</v>
      </c>
    </row>
    <row r="441" spans="1:13">
      <c r="A441" s="4" t="s">
        <v>590</v>
      </c>
      <c r="B441" t="s">
        <v>278</v>
      </c>
      <c r="C441" s="2">
        <v>45764</v>
      </c>
      <c r="D441" s="4" t="s">
        <v>63</v>
      </c>
      <c r="E441" s="4" t="s">
        <v>16</v>
      </c>
      <c r="F441" s="6">
        <v>12</v>
      </c>
      <c r="G441" s="6">
        <v>7000</v>
      </c>
      <c r="H441" s="6">
        <v>84000</v>
      </c>
      <c r="I441" s="6">
        <v>4784.33</v>
      </c>
      <c r="J441" s="6">
        <v>26588.04</v>
      </c>
      <c r="K441" t="s">
        <v>33</v>
      </c>
      <c r="L441" t="s">
        <v>29</v>
      </c>
      <c r="M441" t="s">
        <v>25</v>
      </c>
    </row>
    <row r="442" spans="1:13">
      <c r="A442" s="4" t="s">
        <v>591</v>
      </c>
      <c r="B442" t="s">
        <v>149</v>
      </c>
      <c r="C442" s="2">
        <v>45830</v>
      </c>
      <c r="D442" s="4" t="s">
        <v>106</v>
      </c>
      <c r="E442" s="4" t="s">
        <v>23</v>
      </c>
      <c r="F442" s="6">
        <v>9</v>
      </c>
      <c r="G442" s="6">
        <f>Cleaned_Data4[[#This Row],[Sales_Amount]]/Cleaned_Data4[[#This Row],[Quantity]]</f>
        <v>200000</v>
      </c>
      <c r="H442" s="6">
        <v>1800000</v>
      </c>
      <c r="I442" s="6">
        <v>122268.52</v>
      </c>
      <c r="J442" s="6">
        <v>699583.32</v>
      </c>
      <c r="K442" t="s">
        <v>24</v>
      </c>
      <c r="L442" t="s">
        <v>18</v>
      </c>
      <c r="M442" t="s">
        <v>34</v>
      </c>
    </row>
    <row r="443" spans="1:13">
      <c r="A443" s="4" t="s">
        <v>592</v>
      </c>
      <c r="B443" t="s">
        <v>415</v>
      </c>
      <c r="C443" s="2">
        <v>45934</v>
      </c>
      <c r="D443" s="4" t="s">
        <v>37</v>
      </c>
      <c r="E443" s="4" t="s">
        <v>16</v>
      </c>
      <c r="F443" s="6">
        <v>2</v>
      </c>
      <c r="G443" s="6">
        <v>25000</v>
      </c>
      <c r="H443" s="6">
        <v>50000</v>
      </c>
      <c r="I443" s="6">
        <v>17370.96</v>
      </c>
      <c r="J443" s="6">
        <v>15258.08</v>
      </c>
      <c r="K443" t="s">
        <v>33</v>
      </c>
      <c r="L443" t="s">
        <v>18</v>
      </c>
      <c r="M443" t="s">
        <v>50</v>
      </c>
    </row>
    <row r="444" spans="1:13">
      <c r="A444" s="4" t="s">
        <v>593</v>
      </c>
      <c r="B444" t="s">
        <v>27</v>
      </c>
      <c r="C444" s="2">
        <v>45723</v>
      </c>
      <c r="D444" s="4" t="s">
        <v>63</v>
      </c>
      <c r="E444" s="4" t="s">
        <v>16</v>
      </c>
      <c r="F444" s="6">
        <v>1</v>
      </c>
      <c r="G444" s="6">
        <v>7000</v>
      </c>
      <c r="H444" s="6">
        <v>7000</v>
      </c>
      <c r="I444" s="6">
        <v>5015.3599999999997</v>
      </c>
      <c r="J444" s="6">
        <v>1984.64</v>
      </c>
      <c r="K444" t="s">
        <v>71</v>
      </c>
      <c r="L444" t="s">
        <v>53</v>
      </c>
      <c r="M444" t="s">
        <v>34</v>
      </c>
    </row>
    <row r="445" spans="1:13">
      <c r="A445" s="4" t="s">
        <v>594</v>
      </c>
      <c r="B445" t="s">
        <v>380</v>
      </c>
      <c r="C445" s="2">
        <v>45981</v>
      </c>
      <c r="D445" s="4" t="s">
        <v>63</v>
      </c>
      <c r="E445" s="4" t="s">
        <v>16</v>
      </c>
      <c r="F445" s="6">
        <v>3</v>
      </c>
      <c r="G445" s="6">
        <v>5000</v>
      </c>
      <c r="H445" s="6">
        <v>15000</v>
      </c>
      <c r="I445" s="6">
        <v>3661.4</v>
      </c>
      <c r="J445" s="6">
        <v>4015.8</v>
      </c>
      <c r="K445" t="s">
        <v>80</v>
      </c>
      <c r="L445" t="s">
        <v>29</v>
      </c>
      <c r="M445" t="s">
        <v>50</v>
      </c>
    </row>
    <row r="446" spans="1:13">
      <c r="A446" s="4" t="s">
        <v>595</v>
      </c>
      <c r="B446" t="s">
        <v>380</v>
      </c>
      <c r="C446" s="2">
        <v>45826</v>
      </c>
      <c r="D446" s="4" t="s">
        <v>22</v>
      </c>
      <c r="E446" s="4" t="s">
        <v>23</v>
      </c>
      <c r="F446" s="6">
        <v>1</v>
      </c>
      <c r="G446" s="6">
        <v>280000</v>
      </c>
      <c r="H446" s="6">
        <v>280000</v>
      </c>
      <c r="I446" s="6">
        <v>171386.37</v>
      </c>
      <c r="J446" s="6">
        <v>108613.63</v>
      </c>
      <c r="K446" t="s">
        <v>33</v>
      </c>
      <c r="L446" t="s">
        <v>29</v>
      </c>
      <c r="M446" t="s">
        <v>67</v>
      </c>
    </row>
    <row r="447" spans="1:13">
      <c r="A447" s="4" t="s">
        <v>596</v>
      </c>
      <c r="B447" t="s">
        <v>113</v>
      </c>
      <c r="C447" s="2">
        <v>45878</v>
      </c>
      <c r="D447" s="4" t="s">
        <v>37</v>
      </c>
      <c r="E447" s="4" t="s">
        <v>16</v>
      </c>
      <c r="F447" s="6">
        <v>8</v>
      </c>
      <c r="G447" s="6">
        <v>12000</v>
      </c>
      <c r="H447" s="6">
        <v>96000</v>
      </c>
      <c r="I447" s="6">
        <v>8151.78</v>
      </c>
      <c r="J447" s="6">
        <v>30785.759999999998</v>
      </c>
      <c r="K447" t="s">
        <v>80</v>
      </c>
      <c r="L447" t="s">
        <v>29</v>
      </c>
      <c r="M447" t="s">
        <v>38</v>
      </c>
    </row>
    <row r="448" spans="1:13">
      <c r="A448" s="4" t="s">
        <v>597</v>
      </c>
      <c r="B448" t="s">
        <v>325</v>
      </c>
      <c r="C448" s="2">
        <v>45793</v>
      </c>
      <c r="D448" s="4" t="s">
        <v>70</v>
      </c>
      <c r="E448" s="4" t="s">
        <v>16</v>
      </c>
      <c r="F448" s="6">
        <v>8</v>
      </c>
      <c r="G448" s="6">
        <v>22000</v>
      </c>
      <c r="H448" s="6">
        <v>176000</v>
      </c>
      <c r="I448" s="6">
        <v>14993.48</v>
      </c>
      <c r="J448" s="6">
        <v>56052.160000000003</v>
      </c>
      <c r="K448" t="s">
        <v>33</v>
      </c>
      <c r="L448" t="s">
        <v>18</v>
      </c>
      <c r="M448" t="s">
        <v>38</v>
      </c>
    </row>
    <row r="449" spans="1:13">
      <c r="A449" s="4" t="s">
        <v>598</v>
      </c>
      <c r="B449" t="s">
        <v>36</v>
      </c>
      <c r="C449" s="2">
        <v>45842</v>
      </c>
      <c r="D449" s="4" t="s">
        <v>28</v>
      </c>
      <c r="E449" s="4" t="s">
        <v>23</v>
      </c>
      <c r="F449" s="6">
        <v>1</v>
      </c>
      <c r="G449" s="6">
        <v>300000</v>
      </c>
      <c r="H449" s="6">
        <v>300000</v>
      </c>
      <c r="I449" s="6">
        <v>188422.07</v>
      </c>
      <c r="J449" s="6">
        <v>111577.93</v>
      </c>
      <c r="K449" t="s">
        <v>24</v>
      </c>
      <c r="L449" t="s">
        <v>29</v>
      </c>
      <c r="M449" t="s">
        <v>19</v>
      </c>
    </row>
    <row r="450" spans="1:13">
      <c r="A450" s="4" t="s">
        <v>599</v>
      </c>
      <c r="B450" t="s">
        <v>79</v>
      </c>
      <c r="C450" s="2">
        <v>45887</v>
      </c>
      <c r="D450" s="4" t="s">
        <v>106</v>
      </c>
      <c r="E450" s="4" t="s">
        <v>23</v>
      </c>
      <c r="F450" s="6">
        <v>3</v>
      </c>
      <c r="G450" s="6">
        <v>200000</v>
      </c>
      <c r="H450" s="6">
        <v>600000</v>
      </c>
      <c r="I450" s="6">
        <v>119574.51</v>
      </c>
      <c r="J450" s="6">
        <v>241276.47</v>
      </c>
      <c r="K450" t="s">
        <v>33</v>
      </c>
      <c r="L450" t="s">
        <v>53</v>
      </c>
      <c r="M450" t="s">
        <v>30</v>
      </c>
    </row>
    <row r="451" spans="1:13">
      <c r="A451" s="4" t="s">
        <v>600</v>
      </c>
      <c r="B451" t="s">
        <v>299</v>
      </c>
      <c r="C451" s="2">
        <v>45664</v>
      </c>
      <c r="D451" s="4" t="s">
        <v>48</v>
      </c>
      <c r="E451" s="4" t="s">
        <v>49</v>
      </c>
      <c r="F451" s="6">
        <v>12</v>
      </c>
      <c r="G451" s="6">
        <v>200000</v>
      </c>
      <c r="H451" s="6">
        <v>2400000</v>
      </c>
      <c r="I451" s="6">
        <v>135517.67000000001</v>
      </c>
      <c r="J451" s="6">
        <v>773787.96</v>
      </c>
      <c r="K451" t="s">
        <v>71</v>
      </c>
      <c r="L451" t="s">
        <v>29</v>
      </c>
      <c r="M451" t="s">
        <v>19</v>
      </c>
    </row>
    <row r="452" spans="1:13">
      <c r="A452" s="4" t="s">
        <v>601</v>
      </c>
      <c r="B452" t="s">
        <v>261</v>
      </c>
      <c r="C452" s="2">
        <v>45717</v>
      </c>
      <c r="D452" s="4" t="s">
        <v>48</v>
      </c>
      <c r="E452" s="4" t="s">
        <v>49</v>
      </c>
      <c r="F452" s="6">
        <v>7</v>
      </c>
      <c r="G452" s="6">
        <v>200000</v>
      </c>
      <c r="H452" s="6">
        <v>1400000</v>
      </c>
      <c r="I452" s="6">
        <v>125123.78</v>
      </c>
      <c r="J452" s="6">
        <v>524133.54</v>
      </c>
      <c r="K452" t="s">
        <v>80</v>
      </c>
      <c r="L452" t="s">
        <v>53</v>
      </c>
      <c r="M452" t="s">
        <v>25</v>
      </c>
    </row>
    <row r="453" spans="1:13">
      <c r="A453" s="4" t="s">
        <v>602</v>
      </c>
      <c r="B453" t="s">
        <v>423</v>
      </c>
      <c r="C453" s="2">
        <v>45772</v>
      </c>
      <c r="D453" s="4" t="s">
        <v>48</v>
      </c>
      <c r="E453" s="4" t="s">
        <v>49</v>
      </c>
      <c r="F453" s="6">
        <v>8</v>
      </c>
      <c r="G453" s="6">
        <v>140000</v>
      </c>
      <c r="H453" s="6">
        <v>1120000</v>
      </c>
      <c r="I453" s="6">
        <v>114587.07</v>
      </c>
      <c r="J453" s="6">
        <v>203303.44</v>
      </c>
      <c r="K453" t="s">
        <v>17</v>
      </c>
      <c r="L453" t="s">
        <v>18</v>
      </c>
      <c r="M453" t="s">
        <v>19</v>
      </c>
    </row>
    <row r="454" spans="1:13">
      <c r="A454" s="4" t="s">
        <v>603</v>
      </c>
      <c r="B454" t="s">
        <v>261</v>
      </c>
      <c r="C454" s="2">
        <v>45714</v>
      </c>
      <c r="D454" s="4" t="s">
        <v>63</v>
      </c>
      <c r="E454" s="4" t="s">
        <v>16</v>
      </c>
      <c r="F454" s="6">
        <v>2</v>
      </c>
      <c r="G454" s="6">
        <v>7000</v>
      </c>
      <c r="H454" s="6">
        <v>14000</v>
      </c>
      <c r="I454" s="6">
        <v>5166.9399999999996</v>
      </c>
      <c r="J454" s="6">
        <v>3666.12</v>
      </c>
      <c r="K454" t="s">
        <v>71</v>
      </c>
      <c r="L454" t="s">
        <v>53</v>
      </c>
      <c r="M454" t="s">
        <v>34</v>
      </c>
    </row>
    <row r="455" spans="1:13">
      <c r="A455" s="4" t="s">
        <v>604</v>
      </c>
      <c r="B455" t="s">
        <v>176</v>
      </c>
      <c r="C455" s="2">
        <v>45718</v>
      </c>
      <c r="D455" s="4" t="s">
        <v>28</v>
      </c>
      <c r="E455" s="4" t="s">
        <v>23</v>
      </c>
      <c r="F455" s="6">
        <v>3</v>
      </c>
      <c r="G455" s="6">
        <v>180000</v>
      </c>
      <c r="H455" s="6">
        <v>540000</v>
      </c>
      <c r="I455" s="6">
        <v>138739.6</v>
      </c>
      <c r="J455" s="6">
        <v>123781.2</v>
      </c>
      <c r="K455" t="s">
        <v>33</v>
      </c>
      <c r="L455" t="s">
        <v>29</v>
      </c>
      <c r="M455" t="s">
        <v>38</v>
      </c>
    </row>
    <row r="456" spans="1:13">
      <c r="A456" s="4" t="s">
        <v>605</v>
      </c>
      <c r="B456" t="s">
        <v>21</v>
      </c>
      <c r="C456" s="2">
        <v>45725</v>
      </c>
      <c r="D456" s="4" t="s">
        <v>70</v>
      </c>
      <c r="E456" s="4" t="s">
        <v>16</v>
      </c>
      <c r="F456" s="6">
        <v>11</v>
      </c>
      <c r="G456" s="6">
        <v>35000</v>
      </c>
      <c r="H456" s="6">
        <v>385000</v>
      </c>
      <c r="I456" s="6">
        <v>22819.98</v>
      </c>
      <c r="J456" s="6">
        <v>133980.22</v>
      </c>
      <c r="K456" t="s">
        <v>17</v>
      </c>
      <c r="L456" t="s">
        <v>53</v>
      </c>
      <c r="M456" t="s">
        <v>30</v>
      </c>
    </row>
    <row r="457" spans="1:13">
      <c r="A457" s="4" t="s">
        <v>606</v>
      </c>
      <c r="B457" t="s">
        <v>32</v>
      </c>
      <c r="C457" s="2">
        <v>45658</v>
      </c>
      <c r="D457" s="4" t="s">
        <v>28</v>
      </c>
      <c r="E457" s="4" t="s">
        <v>23</v>
      </c>
      <c r="F457" s="6">
        <v>1</v>
      </c>
      <c r="G457" s="6">
        <v>220000</v>
      </c>
      <c r="H457" s="6">
        <v>220000</v>
      </c>
      <c r="I457" s="6">
        <v>150738.01999999999</v>
      </c>
      <c r="J457" s="6">
        <v>69261.98</v>
      </c>
      <c r="K457" t="s">
        <v>71</v>
      </c>
      <c r="L457" t="s">
        <v>29</v>
      </c>
      <c r="M457" t="s">
        <v>30</v>
      </c>
    </row>
    <row r="458" spans="1:13">
      <c r="A458" s="4" t="s">
        <v>607</v>
      </c>
      <c r="B458" t="s">
        <v>117</v>
      </c>
      <c r="C458" s="2">
        <v>45792</v>
      </c>
      <c r="D458" s="4" t="s">
        <v>48</v>
      </c>
      <c r="E458" s="4" t="s">
        <v>49</v>
      </c>
      <c r="F458" s="6">
        <v>12</v>
      </c>
      <c r="G458" s="6">
        <v>200000</v>
      </c>
      <c r="H458" s="6">
        <v>2400000</v>
      </c>
      <c r="I458" s="6">
        <v>136564.82</v>
      </c>
      <c r="J458" s="6">
        <v>761222.16</v>
      </c>
      <c r="K458" t="s">
        <v>80</v>
      </c>
      <c r="L458" t="s">
        <v>29</v>
      </c>
      <c r="M458" t="s">
        <v>50</v>
      </c>
    </row>
    <row r="459" spans="1:13">
      <c r="A459" s="4" t="s">
        <v>608</v>
      </c>
      <c r="B459" t="s">
        <v>325</v>
      </c>
      <c r="C459" s="2">
        <v>45890</v>
      </c>
      <c r="D459" s="4" t="s">
        <v>63</v>
      </c>
      <c r="E459" s="4" t="s">
        <v>16</v>
      </c>
      <c r="F459" s="6">
        <v>1</v>
      </c>
      <c r="G459" s="6">
        <v>7000</v>
      </c>
      <c r="H459" s="6">
        <v>7000</v>
      </c>
      <c r="I459" s="6">
        <v>4910.01</v>
      </c>
      <c r="J459" s="6">
        <v>2089.9899999999998</v>
      </c>
      <c r="K459" t="s">
        <v>71</v>
      </c>
      <c r="L459" t="s">
        <v>53</v>
      </c>
      <c r="M459" t="s">
        <v>25</v>
      </c>
    </row>
    <row r="460" spans="1:13">
      <c r="A460" s="4" t="s">
        <v>609</v>
      </c>
      <c r="B460" t="s">
        <v>321</v>
      </c>
      <c r="C460" s="2">
        <v>46000</v>
      </c>
      <c r="D460" s="4" t="s">
        <v>52</v>
      </c>
      <c r="E460" s="4" t="s">
        <v>23</v>
      </c>
      <c r="F460" s="6">
        <v>2</v>
      </c>
      <c r="G460" s="6">
        <v>85000</v>
      </c>
      <c r="H460" s="6">
        <v>170000</v>
      </c>
      <c r="I460" s="6">
        <v>69182.95</v>
      </c>
      <c r="J460" s="6">
        <v>31634.1</v>
      </c>
      <c r="K460" t="s">
        <v>33</v>
      </c>
      <c r="L460" t="s">
        <v>18</v>
      </c>
      <c r="M460" t="s">
        <v>25</v>
      </c>
    </row>
    <row r="461" spans="1:13">
      <c r="A461" s="4" t="s">
        <v>610</v>
      </c>
      <c r="B461" t="s">
        <v>343</v>
      </c>
      <c r="C461" s="2">
        <v>46012</v>
      </c>
      <c r="D461" s="4" t="s">
        <v>15</v>
      </c>
      <c r="E461" s="4" t="s">
        <v>16</v>
      </c>
      <c r="F461" s="6">
        <v>10</v>
      </c>
      <c r="G461" s="6">
        <v>8000</v>
      </c>
      <c r="H461" s="6">
        <v>80000</v>
      </c>
      <c r="I461" s="6">
        <v>6042.55</v>
      </c>
      <c r="J461" s="6">
        <v>19574.5</v>
      </c>
      <c r="K461" t="s">
        <v>17</v>
      </c>
      <c r="L461" t="s">
        <v>29</v>
      </c>
      <c r="M461" t="s">
        <v>38</v>
      </c>
    </row>
    <row r="462" spans="1:13">
      <c r="A462" s="4" t="s">
        <v>611</v>
      </c>
      <c r="B462" t="s">
        <v>200</v>
      </c>
      <c r="C462" s="2">
        <v>45779</v>
      </c>
      <c r="D462" s="4" t="s">
        <v>63</v>
      </c>
      <c r="E462" s="4" t="s">
        <v>16</v>
      </c>
      <c r="F462" s="6">
        <v>10</v>
      </c>
      <c r="G462" s="6">
        <v>5000</v>
      </c>
      <c r="H462" s="6">
        <v>50000</v>
      </c>
      <c r="I462" s="6">
        <v>2918.94</v>
      </c>
      <c r="J462" s="6">
        <v>20810.599999999999</v>
      </c>
      <c r="K462" t="s">
        <v>17</v>
      </c>
      <c r="L462" t="s">
        <v>53</v>
      </c>
      <c r="M462" t="s">
        <v>38</v>
      </c>
    </row>
    <row r="463" spans="1:13">
      <c r="A463" s="4" t="s">
        <v>612</v>
      </c>
      <c r="B463" t="s">
        <v>365</v>
      </c>
      <c r="C463" s="2">
        <v>45700</v>
      </c>
      <c r="D463" s="4" t="s">
        <v>45</v>
      </c>
      <c r="E463" s="4" t="s">
        <v>23</v>
      </c>
      <c r="F463" s="6">
        <v>11</v>
      </c>
      <c r="G463" s="6">
        <v>520000</v>
      </c>
      <c r="H463" s="6">
        <v>5720000</v>
      </c>
      <c r="I463" s="6">
        <v>318535.3</v>
      </c>
      <c r="J463" s="6">
        <v>2216111.7000000002</v>
      </c>
      <c r="K463" t="s">
        <v>71</v>
      </c>
      <c r="L463" t="s">
        <v>53</v>
      </c>
      <c r="M463" t="s">
        <v>19</v>
      </c>
    </row>
    <row r="464" spans="1:13">
      <c r="A464" s="4" t="s">
        <v>613</v>
      </c>
      <c r="B464" t="s">
        <v>391</v>
      </c>
      <c r="C464" s="2">
        <v>45773</v>
      </c>
      <c r="D464" s="4" t="s">
        <v>52</v>
      </c>
      <c r="E464" s="4" t="s">
        <v>23</v>
      </c>
      <c r="F464" s="6">
        <v>3</v>
      </c>
      <c r="G464" s="6">
        <v>65000</v>
      </c>
      <c r="H464" s="6">
        <v>195000</v>
      </c>
      <c r="I464" s="6">
        <v>38849.870000000003</v>
      </c>
      <c r="J464" s="6">
        <v>78450.39</v>
      </c>
      <c r="K464" t="s">
        <v>24</v>
      </c>
      <c r="L464" t="s">
        <v>53</v>
      </c>
      <c r="M464" t="s">
        <v>19</v>
      </c>
    </row>
    <row r="465" spans="1:13">
      <c r="A465" s="4" t="s">
        <v>614</v>
      </c>
      <c r="B465" t="s">
        <v>123</v>
      </c>
      <c r="C465" s="2">
        <v>45760</v>
      </c>
      <c r="D465" s="4" t="s">
        <v>48</v>
      </c>
      <c r="E465" s="4" t="s">
        <v>49</v>
      </c>
      <c r="F465" s="6">
        <v>12</v>
      </c>
      <c r="G465" s="6">
        <v>140000</v>
      </c>
      <c r="H465" s="6">
        <v>1680000</v>
      </c>
      <c r="I465" s="6">
        <v>113122.31</v>
      </c>
      <c r="J465" s="6">
        <v>322532.28000000003</v>
      </c>
      <c r="K465" t="s">
        <v>33</v>
      </c>
      <c r="L465" t="s">
        <v>53</v>
      </c>
      <c r="M465" t="s">
        <v>67</v>
      </c>
    </row>
    <row r="466" spans="1:13">
      <c r="A466" s="4" t="s">
        <v>615</v>
      </c>
      <c r="B466" t="s">
        <v>169</v>
      </c>
      <c r="C466" s="2">
        <v>45870</v>
      </c>
      <c r="D466" s="4" t="s">
        <v>56</v>
      </c>
      <c r="E466" s="4" t="s">
        <v>23</v>
      </c>
      <c r="F466" s="6">
        <v>3</v>
      </c>
      <c r="G466" s="6">
        <v>70000</v>
      </c>
      <c r="H466" s="6">
        <v>210000</v>
      </c>
      <c r="I466" s="6">
        <v>50645.32</v>
      </c>
      <c r="J466" s="6">
        <v>58064.04</v>
      </c>
      <c r="K466" t="s">
        <v>71</v>
      </c>
      <c r="L466" t="s">
        <v>29</v>
      </c>
      <c r="M466" t="s">
        <v>30</v>
      </c>
    </row>
    <row r="467" spans="1:13">
      <c r="A467" s="4" t="s">
        <v>616</v>
      </c>
      <c r="B467" t="s">
        <v>121</v>
      </c>
      <c r="C467" s="2">
        <v>45731</v>
      </c>
      <c r="D467" s="4" t="s">
        <v>52</v>
      </c>
      <c r="E467" s="4" t="s">
        <v>23</v>
      </c>
      <c r="F467" s="6">
        <v>5</v>
      </c>
      <c r="G467" s="6">
        <v>85000</v>
      </c>
      <c r="H467" s="6">
        <v>425000</v>
      </c>
      <c r="I467" s="6">
        <v>67394.350000000006</v>
      </c>
      <c r="J467" s="6">
        <v>88028.25</v>
      </c>
      <c r="K467" t="s">
        <v>24</v>
      </c>
      <c r="L467" t="s">
        <v>53</v>
      </c>
      <c r="M467" t="s">
        <v>25</v>
      </c>
    </row>
    <row r="468" spans="1:13">
      <c r="A468" s="4" t="s">
        <v>617</v>
      </c>
      <c r="B468" t="s">
        <v>423</v>
      </c>
      <c r="C468" s="2">
        <v>45916</v>
      </c>
      <c r="D468" s="4" t="s">
        <v>70</v>
      </c>
      <c r="E468" s="4" t="s">
        <v>16</v>
      </c>
      <c r="F468" s="6">
        <v>8</v>
      </c>
      <c r="G468" s="6">
        <v>15000</v>
      </c>
      <c r="H468" s="6">
        <v>120000</v>
      </c>
      <c r="I468" s="6">
        <v>9474.52</v>
      </c>
      <c r="J468" s="6">
        <v>44203.839999999997</v>
      </c>
      <c r="K468" t="s">
        <v>17</v>
      </c>
      <c r="L468" t="s">
        <v>53</v>
      </c>
      <c r="M468" t="s">
        <v>19</v>
      </c>
    </row>
    <row r="469" spans="1:13">
      <c r="A469" s="4" t="s">
        <v>618</v>
      </c>
      <c r="B469" t="s">
        <v>96</v>
      </c>
      <c r="C469" s="2">
        <v>45880</v>
      </c>
      <c r="D469" s="4" t="s">
        <v>28</v>
      </c>
      <c r="E469" s="4" t="s">
        <v>23</v>
      </c>
      <c r="F469" s="6">
        <v>2</v>
      </c>
      <c r="G469" s="6">
        <v>220000</v>
      </c>
      <c r="H469" s="6">
        <v>440000</v>
      </c>
      <c r="I469" s="6">
        <v>159929.26999999999</v>
      </c>
      <c r="J469" s="6">
        <v>120141.46</v>
      </c>
      <c r="K469" t="s">
        <v>24</v>
      </c>
      <c r="L469" t="s">
        <v>18</v>
      </c>
      <c r="M469" t="s">
        <v>38</v>
      </c>
    </row>
    <row r="470" spans="1:13">
      <c r="A470" s="4" t="s">
        <v>619</v>
      </c>
      <c r="B470" t="s">
        <v>65</v>
      </c>
      <c r="C470" s="2">
        <v>45847</v>
      </c>
      <c r="D470" s="4" t="s">
        <v>15</v>
      </c>
      <c r="E470" s="4" t="s">
        <v>16</v>
      </c>
      <c r="F470" s="6">
        <v>9</v>
      </c>
      <c r="G470" s="6">
        <v>12500</v>
      </c>
      <c r="H470" s="6">
        <v>112500</v>
      </c>
      <c r="I470" s="6">
        <v>8701.2800000000007</v>
      </c>
      <c r="J470" s="6">
        <v>34188.480000000003</v>
      </c>
      <c r="K470" t="s">
        <v>33</v>
      </c>
      <c r="L470" t="s">
        <v>29</v>
      </c>
      <c r="M470" t="s">
        <v>34</v>
      </c>
    </row>
    <row r="471" spans="1:13">
      <c r="A471" s="4" t="s">
        <v>620</v>
      </c>
      <c r="B471" t="s">
        <v>149</v>
      </c>
      <c r="C471" s="2">
        <v>45871</v>
      </c>
      <c r="D471" s="4" t="s">
        <v>66</v>
      </c>
      <c r="E471" s="4" t="s">
        <v>49</v>
      </c>
      <c r="F471" s="6">
        <v>3</v>
      </c>
      <c r="G471" s="6">
        <v>90000</v>
      </c>
      <c r="H471" s="6">
        <v>270000</v>
      </c>
      <c r="I471" s="6">
        <v>63124.98</v>
      </c>
      <c r="J471" s="6">
        <v>80625.06</v>
      </c>
      <c r="K471" t="s">
        <v>80</v>
      </c>
      <c r="L471" t="s">
        <v>53</v>
      </c>
      <c r="M471" t="s">
        <v>38</v>
      </c>
    </row>
    <row r="472" spans="1:13">
      <c r="A472" s="4" t="s">
        <v>621</v>
      </c>
      <c r="B472" t="s">
        <v>224</v>
      </c>
      <c r="C472" s="2">
        <v>45948</v>
      </c>
      <c r="D472" s="4" t="s">
        <v>106</v>
      </c>
      <c r="E472" s="4" t="s">
        <v>23</v>
      </c>
      <c r="F472" s="6">
        <v>10</v>
      </c>
      <c r="G472" s="6">
        <v>120000</v>
      </c>
      <c r="H472" s="6">
        <v>1200000</v>
      </c>
      <c r="I472" s="6">
        <v>96339.5</v>
      </c>
      <c r="J472" s="6">
        <v>236605</v>
      </c>
      <c r="K472" t="s">
        <v>24</v>
      </c>
      <c r="L472" t="s">
        <v>29</v>
      </c>
      <c r="M472" t="s">
        <v>38</v>
      </c>
    </row>
    <row r="473" spans="1:13">
      <c r="A473" s="4" t="s">
        <v>622</v>
      </c>
      <c r="B473" t="s">
        <v>154</v>
      </c>
      <c r="C473" s="2">
        <v>45999</v>
      </c>
      <c r="D473" s="4" t="s">
        <v>22</v>
      </c>
      <c r="E473" s="4" t="s">
        <v>23</v>
      </c>
      <c r="F473" s="6">
        <v>3</v>
      </c>
      <c r="G473" s="6">
        <v>280000</v>
      </c>
      <c r="H473" s="6">
        <v>840000</v>
      </c>
      <c r="I473" s="6">
        <v>211358.14</v>
      </c>
      <c r="J473" s="6">
        <v>205925.58</v>
      </c>
      <c r="K473" t="s">
        <v>24</v>
      </c>
      <c r="L473" t="s">
        <v>18</v>
      </c>
      <c r="M473" t="s">
        <v>67</v>
      </c>
    </row>
    <row r="474" spans="1:13">
      <c r="A474" s="4" t="s">
        <v>623</v>
      </c>
      <c r="B474" t="s">
        <v>302</v>
      </c>
      <c r="C474" s="2">
        <v>45839</v>
      </c>
      <c r="D474" s="4" t="s">
        <v>52</v>
      </c>
      <c r="E474" s="4" t="s">
        <v>23</v>
      </c>
      <c r="F474" s="6">
        <v>3</v>
      </c>
      <c r="G474" s="6">
        <v>85000</v>
      </c>
      <c r="H474" s="6">
        <v>255000</v>
      </c>
      <c r="I474" s="6">
        <v>61798.63</v>
      </c>
      <c r="J474" s="6">
        <v>69604.11</v>
      </c>
      <c r="K474" t="s">
        <v>80</v>
      </c>
      <c r="L474" t="s">
        <v>29</v>
      </c>
      <c r="M474" t="s">
        <v>34</v>
      </c>
    </row>
    <row r="475" spans="1:13">
      <c r="A475" s="4" t="s">
        <v>624</v>
      </c>
      <c r="B475" t="s">
        <v>200</v>
      </c>
      <c r="C475" s="2">
        <v>45943</v>
      </c>
      <c r="D475" s="4" t="s">
        <v>37</v>
      </c>
      <c r="E475" s="4" t="s">
        <v>16</v>
      </c>
      <c r="F475" s="6">
        <v>1</v>
      </c>
      <c r="G475" s="6">
        <v>12000</v>
      </c>
      <c r="H475" s="6">
        <v>12000</v>
      </c>
      <c r="I475" s="6">
        <v>7993.31</v>
      </c>
      <c r="J475" s="6">
        <v>4006.69</v>
      </c>
      <c r="K475" t="s">
        <v>24</v>
      </c>
      <c r="L475" t="s">
        <v>18</v>
      </c>
      <c r="M475" t="s">
        <v>50</v>
      </c>
    </row>
    <row r="476" spans="1:13">
      <c r="A476" s="4" t="s">
        <v>625</v>
      </c>
      <c r="B476" t="s">
        <v>292</v>
      </c>
      <c r="C476" s="2" t="s">
        <v>355</v>
      </c>
      <c r="D476" s="4" t="s">
        <v>45</v>
      </c>
      <c r="E476" s="4" t="s">
        <v>23</v>
      </c>
      <c r="F476" s="6">
        <v>1</v>
      </c>
      <c r="G476" s="6">
        <v>450000</v>
      </c>
      <c r="H476" s="6">
        <v>450000</v>
      </c>
      <c r="I476" s="6">
        <v>363080.32</v>
      </c>
      <c r="J476" s="6">
        <v>86919.679999999993</v>
      </c>
      <c r="K476" t="s">
        <v>17</v>
      </c>
      <c r="L476" t="s">
        <v>53</v>
      </c>
      <c r="M476" t="s">
        <v>30</v>
      </c>
    </row>
    <row r="477" spans="1:13">
      <c r="A477" s="4" t="s">
        <v>626</v>
      </c>
      <c r="B477" t="s">
        <v>627</v>
      </c>
      <c r="C477" s="2">
        <v>45757</v>
      </c>
      <c r="D477" s="4" t="s">
        <v>48</v>
      </c>
      <c r="E477" s="4" t="s">
        <v>49</v>
      </c>
      <c r="F477" s="6">
        <v>11</v>
      </c>
      <c r="G477" s="6">
        <v>200000</v>
      </c>
      <c r="H477" s="6">
        <v>2200000</v>
      </c>
      <c r="I477" s="6">
        <v>143153.94</v>
      </c>
      <c r="J477" s="6">
        <v>625306.66</v>
      </c>
      <c r="K477" t="s">
        <v>33</v>
      </c>
      <c r="L477" t="s">
        <v>18</v>
      </c>
      <c r="M477" t="s">
        <v>50</v>
      </c>
    </row>
    <row r="478" spans="1:13">
      <c r="A478" s="4" t="s">
        <v>628</v>
      </c>
      <c r="B478" t="s">
        <v>125</v>
      </c>
      <c r="C478" s="2">
        <v>45815</v>
      </c>
      <c r="D478" s="4" t="s">
        <v>63</v>
      </c>
      <c r="E478" s="4" t="s">
        <v>16</v>
      </c>
      <c r="F478" s="6">
        <v>5</v>
      </c>
      <c r="G478" s="6">
        <v>5000</v>
      </c>
      <c r="H478" s="6">
        <v>25000</v>
      </c>
      <c r="I478" s="6">
        <v>3515.38</v>
      </c>
      <c r="J478" s="6">
        <v>7423.1</v>
      </c>
      <c r="K478" t="s">
        <v>80</v>
      </c>
      <c r="L478" t="s">
        <v>53</v>
      </c>
      <c r="M478" t="s">
        <v>34</v>
      </c>
    </row>
    <row r="479" spans="1:13">
      <c r="A479" s="4" t="s">
        <v>629</v>
      </c>
      <c r="B479" t="s">
        <v>630</v>
      </c>
      <c r="C479" s="2">
        <v>45901</v>
      </c>
      <c r="D479" s="4" t="s">
        <v>52</v>
      </c>
      <c r="E479" s="4" t="s">
        <v>23</v>
      </c>
      <c r="F479" s="6">
        <v>11</v>
      </c>
      <c r="G479" s="6">
        <f>Cleaned_Data4[[#This Row],[Sales_Amount]]/Cleaned_Data4[[#This Row],[Quantity]]</f>
        <v>65000</v>
      </c>
      <c r="H479" s="6">
        <v>715000</v>
      </c>
      <c r="I479" s="6">
        <v>45614.11</v>
      </c>
      <c r="J479" s="6">
        <v>213244.79</v>
      </c>
      <c r="K479" t="s">
        <v>33</v>
      </c>
      <c r="L479" t="s">
        <v>53</v>
      </c>
      <c r="M479" t="s">
        <v>19</v>
      </c>
    </row>
    <row r="480" spans="1:13">
      <c r="A480" s="4" t="s">
        <v>631</v>
      </c>
      <c r="B480" t="s">
        <v>365</v>
      </c>
      <c r="C480" s="2">
        <v>45855</v>
      </c>
      <c r="D480" s="4" t="s">
        <v>48</v>
      </c>
      <c r="E480" s="4" t="s">
        <v>49</v>
      </c>
      <c r="F480" s="6">
        <v>2</v>
      </c>
      <c r="G480" s="6">
        <v>140000</v>
      </c>
      <c r="H480" s="6">
        <v>280000</v>
      </c>
      <c r="I480" s="6">
        <v>83237.23</v>
      </c>
      <c r="J480" s="6">
        <v>113525.54</v>
      </c>
      <c r="K480" t="s">
        <v>33</v>
      </c>
      <c r="L480" t="s">
        <v>29</v>
      </c>
      <c r="M480" t="s">
        <v>67</v>
      </c>
    </row>
    <row r="481" spans="1:13">
      <c r="A481" s="4" t="s">
        <v>632</v>
      </c>
      <c r="B481" t="s">
        <v>105</v>
      </c>
      <c r="C481" s="2">
        <v>45985</v>
      </c>
      <c r="D481" s="4" t="s">
        <v>52</v>
      </c>
      <c r="E481" s="4" t="s">
        <v>23</v>
      </c>
      <c r="F481" s="6">
        <v>1</v>
      </c>
      <c r="G481" s="6">
        <v>45000</v>
      </c>
      <c r="H481" s="6">
        <v>45000</v>
      </c>
      <c r="I481" s="6">
        <v>33277.74</v>
      </c>
      <c r="J481" s="6">
        <v>11722.26</v>
      </c>
      <c r="K481" t="s">
        <v>71</v>
      </c>
      <c r="L481" t="s">
        <v>18</v>
      </c>
      <c r="M481" t="s">
        <v>19</v>
      </c>
    </row>
    <row r="482" spans="1:13">
      <c r="A482" s="4" t="s">
        <v>633</v>
      </c>
      <c r="B482" t="s">
        <v>222</v>
      </c>
      <c r="C482" s="2">
        <v>45728</v>
      </c>
      <c r="D482" s="4" t="s">
        <v>52</v>
      </c>
      <c r="E482" s="4" t="s">
        <v>23</v>
      </c>
      <c r="F482" s="6">
        <v>7</v>
      </c>
      <c r="G482" s="6">
        <v>85000</v>
      </c>
      <c r="H482" s="6">
        <v>595000</v>
      </c>
      <c r="I482" s="6">
        <v>65363.25</v>
      </c>
      <c r="J482" s="6">
        <v>137457.25</v>
      </c>
      <c r="K482" t="s">
        <v>24</v>
      </c>
      <c r="L482" t="s">
        <v>53</v>
      </c>
      <c r="M482" t="s">
        <v>19</v>
      </c>
    </row>
    <row r="483" spans="1:13">
      <c r="A483" s="4" t="s">
        <v>634</v>
      </c>
      <c r="B483" t="s">
        <v>245</v>
      </c>
      <c r="C483" s="2">
        <v>45955</v>
      </c>
      <c r="D483" s="4" t="s">
        <v>37</v>
      </c>
      <c r="E483" s="4" t="s">
        <v>16</v>
      </c>
      <c r="F483" s="6">
        <v>10</v>
      </c>
      <c r="G483" s="6">
        <v>25000</v>
      </c>
      <c r="H483" s="6">
        <v>250000</v>
      </c>
      <c r="I483" s="6">
        <v>19866.03</v>
      </c>
      <c r="J483" s="6">
        <v>51339.7</v>
      </c>
      <c r="K483" t="s">
        <v>33</v>
      </c>
      <c r="L483" t="s">
        <v>18</v>
      </c>
      <c r="M483" t="s">
        <v>50</v>
      </c>
    </row>
    <row r="484" spans="1:13">
      <c r="A484" s="4" t="s">
        <v>635</v>
      </c>
      <c r="B484" t="s">
        <v>156</v>
      </c>
      <c r="C484" s="2">
        <v>45798</v>
      </c>
      <c r="D484" s="4" t="s">
        <v>56</v>
      </c>
      <c r="E484" s="4" t="s">
        <v>23</v>
      </c>
      <c r="F484" s="6">
        <v>4</v>
      </c>
      <c r="G484" s="6">
        <v>70000</v>
      </c>
      <c r="H484" s="6">
        <v>280000</v>
      </c>
      <c r="I484" s="6">
        <v>40988.370000000003</v>
      </c>
      <c r="J484" s="6">
        <v>116046.52</v>
      </c>
      <c r="K484" t="s">
        <v>33</v>
      </c>
      <c r="L484" t="s">
        <v>18</v>
      </c>
      <c r="M484" t="s">
        <v>19</v>
      </c>
    </row>
    <row r="485" spans="1:13">
      <c r="A485" s="4" t="s">
        <v>636</v>
      </c>
      <c r="B485" t="s">
        <v>42</v>
      </c>
      <c r="C485" s="2">
        <v>45708</v>
      </c>
      <c r="D485" s="4" t="s">
        <v>52</v>
      </c>
      <c r="E485" s="4" t="s">
        <v>23</v>
      </c>
      <c r="F485" s="6">
        <v>1</v>
      </c>
      <c r="G485" s="6">
        <v>65000</v>
      </c>
      <c r="H485" s="6">
        <v>65000</v>
      </c>
      <c r="I485" s="6">
        <v>49060.13</v>
      </c>
      <c r="J485" s="6">
        <v>15939.87</v>
      </c>
      <c r="K485" t="s">
        <v>71</v>
      </c>
      <c r="L485" t="s">
        <v>53</v>
      </c>
      <c r="M485" t="s">
        <v>50</v>
      </c>
    </row>
    <row r="486" spans="1:13">
      <c r="A486" s="4" t="s">
        <v>637</v>
      </c>
      <c r="B486" t="s">
        <v>193</v>
      </c>
      <c r="C486" s="2">
        <v>45824</v>
      </c>
      <c r="D486" s="4" t="s">
        <v>15</v>
      </c>
      <c r="E486" s="4" t="s">
        <v>16</v>
      </c>
      <c r="F486" s="6">
        <v>2</v>
      </c>
      <c r="G486" s="6">
        <v>12500</v>
      </c>
      <c r="H486" s="6">
        <v>25000</v>
      </c>
      <c r="I486" s="6">
        <v>9243.51</v>
      </c>
      <c r="J486" s="6">
        <v>6512.98</v>
      </c>
      <c r="K486" t="s">
        <v>80</v>
      </c>
      <c r="L486" t="s">
        <v>53</v>
      </c>
      <c r="M486" t="s">
        <v>30</v>
      </c>
    </row>
    <row r="487" spans="1:13">
      <c r="A487" s="4" t="s">
        <v>638</v>
      </c>
      <c r="B487" t="s">
        <v>200</v>
      </c>
      <c r="C487" s="2">
        <v>45853</v>
      </c>
      <c r="D487" s="4" t="s">
        <v>63</v>
      </c>
      <c r="E487" s="4" t="s">
        <v>16</v>
      </c>
      <c r="F487" s="6">
        <v>6</v>
      </c>
      <c r="G487" s="6">
        <v>3000</v>
      </c>
      <c r="H487" s="6">
        <v>18000</v>
      </c>
      <c r="I487" s="6">
        <v>2060.96</v>
      </c>
      <c r="J487" s="6">
        <v>5634.24</v>
      </c>
      <c r="K487" t="s">
        <v>80</v>
      </c>
      <c r="L487" t="s">
        <v>29</v>
      </c>
      <c r="M487" t="s">
        <v>19</v>
      </c>
    </row>
    <row r="488" spans="1:13">
      <c r="A488" s="4" t="s">
        <v>639</v>
      </c>
      <c r="B488" t="s">
        <v>180</v>
      </c>
      <c r="C488" s="2">
        <v>45928</v>
      </c>
      <c r="D488" s="4" t="s">
        <v>45</v>
      </c>
      <c r="E488" s="4" t="s">
        <v>23</v>
      </c>
      <c r="F488" s="6">
        <v>1</v>
      </c>
      <c r="G488" s="6">
        <v>520000</v>
      </c>
      <c r="H488" s="6">
        <v>520000</v>
      </c>
      <c r="I488" s="6">
        <v>373535.14</v>
      </c>
      <c r="J488" s="6">
        <v>146464.85999999999</v>
      </c>
      <c r="K488" t="s">
        <v>17</v>
      </c>
      <c r="L488" t="s">
        <v>29</v>
      </c>
      <c r="M488" t="s">
        <v>38</v>
      </c>
    </row>
    <row r="489" spans="1:13">
      <c r="A489" s="4" t="s">
        <v>640</v>
      </c>
      <c r="B489" t="s">
        <v>154</v>
      </c>
      <c r="C489" s="2">
        <v>46013</v>
      </c>
      <c r="D489" s="4" t="s">
        <v>63</v>
      </c>
      <c r="E489" s="4" t="s">
        <v>16</v>
      </c>
      <c r="F489" s="6">
        <v>2</v>
      </c>
      <c r="G489" s="6">
        <v>3000</v>
      </c>
      <c r="H489" s="6">
        <v>6000</v>
      </c>
      <c r="I489" s="6">
        <v>1784.64</v>
      </c>
      <c r="J489" s="6">
        <v>2430.7199999999998</v>
      </c>
      <c r="K489" t="s">
        <v>17</v>
      </c>
      <c r="L489" t="s">
        <v>29</v>
      </c>
      <c r="M489" t="s">
        <v>25</v>
      </c>
    </row>
    <row r="490" spans="1:13">
      <c r="A490" s="4" t="s">
        <v>641</v>
      </c>
      <c r="B490" t="s">
        <v>113</v>
      </c>
      <c r="C490" s="2">
        <v>45930</v>
      </c>
      <c r="D490" s="4" t="s">
        <v>22</v>
      </c>
      <c r="E490" s="4" t="s">
        <v>23</v>
      </c>
      <c r="F490" s="6">
        <v>2</v>
      </c>
      <c r="G490" s="6">
        <v>150000</v>
      </c>
      <c r="H490" s="6">
        <v>300000</v>
      </c>
      <c r="I490" s="6">
        <v>94159.51</v>
      </c>
      <c r="J490" s="6">
        <v>111680.98</v>
      </c>
      <c r="K490" t="s">
        <v>33</v>
      </c>
      <c r="L490" t="s">
        <v>18</v>
      </c>
      <c r="M490" t="s">
        <v>67</v>
      </c>
    </row>
    <row r="491" spans="1:13">
      <c r="A491" s="4" t="s">
        <v>642</v>
      </c>
      <c r="B491" t="s">
        <v>109</v>
      </c>
      <c r="C491" s="2">
        <v>45871</v>
      </c>
      <c r="D491" s="4" t="s">
        <v>45</v>
      </c>
      <c r="E491" s="4" t="s">
        <v>23</v>
      </c>
      <c r="F491" s="6">
        <v>8</v>
      </c>
      <c r="G491" s="6">
        <v>650000</v>
      </c>
      <c r="H491" s="6">
        <v>5200000</v>
      </c>
      <c r="I491" s="6">
        <v>425313.49</v>
      </c>
      <c r="J491" s="6">
        <v>1797492.08</v>
      </c>
      <c r="K491" t="s">
        <v>24</v>
      </c>
      <c r="L491" t="s">
        <v>29</v>
      </c>
      <c r="M491" t="s">
        <v>30</v>
      </c>
    </row>
    <row r="492" spans="1:13">
      <c r="A492" s="4" t="s">
        <v>643</v>
      </c>
      <c r="B492" t="s">
        <v>196</v>
      </c>
      <c r="C492" s="2">
        <v>45812</v>
      </c>
      <c r="D492" s="4" t="s">
        <v>52</v>
      </c>
      <c r="E492" s="4" t="s">
        <v>23</v>
      </c>
      <c r="F492" s="6">
        <v>6</v>
      </c>
      <c r="G492" s="6">
        <v>65000</v>
      </c>
      <c r="H492" s="6">
        <v>390000</v>
      </c>
      <c r="I492" s="6">
        <v>37771.29</v>
      </c>
      <c r="J492" s="6">
        <v>163372.26</v>
      </c>
      <c r="K492" t="s">
        <v>33</v>
      </c>
      <c r="L492" t="s">
        <v>53</v>
      </c>
      <c r="M492" t="s">
        <v>25</v>
      </c>
    </row>
    <row r="493" spans="1:13">
      <c r="A493" s="4" t="s">
        <v>644</v>
      </c>
      <c r="B493" t="s">
        <v>325</v>
      </c>
      <c r="C493" s="2">
        <v>46011</v>
      </c>
      <c r="D493" s="4" t="s">
        <v>15</v>
      </c>
      <c r="E493" s="4" t="s">
        <v>16</v>
      </c>
      <c r="F493" s="6">
        <v>8</v>
      </c>
      <c r="G493" s="6">
        <v>10000</v>
      </c>
      <c r="H493" s="6">
        <v>80000</v>
      </c>
      <c r="I493" s="6">
        <v>6873.11</v>
      </c>
      <c r="J493" s="6">
        <v>25015.119999999999</v>
      </c>
      <c r="K493" t="s">
        <v>24</v>
      </c>
      <c r="L493" t="s">
        <v>18</v>
      </c>
      <c r="M493" t="s">
        <v>30</v>
      </c>
    </row>
    <row r="494" spans="1:13">
      <c r="A494" s="4" t="s">
        <v>645</v>
      </c>
      <c r="B494" t="s">
        <v>316</v>
      </c>
      <c r="C494" s="2">
        <v>46008</v>
      </c>
      <c r="D494" s="4" t="s">
        <v>56</v>
      </c>
      <c r="E494" s="4" t="s">
        <v>23</v>
      </c>
      <c r="F494" s="6">
        <v>9</v>
      </c>
      <c r="G494" s="6">
        <v>30000</v>
      </c>
      <c r="H494" s="6">
        <v>270000</v>
      </c>
      <c r="I494" s="6">
        <v>22051.38</v>
      </c>
      <c r="J494" s="6">
        <v>71537.58</v>
      </c>
      <c r="K494" t="s">
        <v>33</v>
      </c>
      <c r="L494" t="s">
        <v>29</v>
      </c>
      <c r="M494" t="s">
        <v>67</v>
      </c>
    </row>
    <row r="495" spans="1:13">
      <c r="A495" s="4" t="s">
        <v>646</v>
      </c>
      <c r="B495" t="s">
        <v>92</v>
      </c>
      <c r="C495" s="2">
        <v>45913</v>
      </c>
      <c r="D495" s="4" t="s">
        <v>28</v>
      </c>
      <c r="E495" s="4" t="s">
        <v>23</v>
      </c>
      <c r="F495" s="6">
        <v>10</v>
      </c>
      <c r="G495" s="6">
        <v>300000</v>
      </c>
      <c r="H495" s="6">
        <v>3000000</v>
      </c>
      <c r="I495" s="6">
        <v>175183.35</v>
      </c>
      <c r="J495" s="6">
        <v>1248166.5</v>
      </c>
      <c r="K495" t="s">
        <v>33</v>
      </c>
      <c r="L495" t="s">
        <v>53</v>
      </c>
      <c r="M495" t="s">
        <v>38</v>
      </c>
    </row>
    <row r="496" spans="1:13">
      <c r="A496" s="4" t="s">
        <v>647</v>
      </c>
      <c r="B496" t="s">
        <v>222</v>
      </c>
      <c r="C496" s="2">
        <v>45847</v>
      </c>
      <c r="D496" s="4" t="s">
        <v>48</v>
      </c>
      <c r="E496" s="4" t="s">
        <v>49</v>
      </c>
      <c r="F496" s="6">
        <v>2</v>
      </c>
      <c r="G496" s="6">
        <v>200000</v>
      </c>
      <c r="H496" s="6">
        <v>400000</v>
      </c>
      <c r="I496" s="6">
        <v>156911.25</v>
      </c>
      <c r="J496" s="6">
        <v>86177.5</v>
      </c>
      <c r="K496" t="s">
        <v>17</v>
      </c>
      <c r="L496" t="s">
        <v>29</v>
      </c>
      <c r="M496" t="s">
        <v>25</v>
      </c>
    </row>
    <row r="497" spans="1:13">
      <c r="A497" s="4" t="s">
        <v>648</v>
      </c>
      <c r="B497" t="s">
        <v>42</v>
      </c>
      <c r="C497" s="2">
        <v>45720</v>
      </c>
      <c r="D497" s="4" t="s">
        <v>52</v>
      </c>
      <c r="E497" s="4" t="s">
        <v>23</v>
      </c>
      <c r="F497" s="6">
        <v>7</v>
      </c>
      <c r="G497" s="6">
        <v>65000</v>
      </c>
      <c r="H497" s="6">
        <v>455000</v>
      </c>
      <c r="I497" s="6">
        <v>46909.279999999999</v>
      </c>
      <c r="J497" s="6">
        <v>126635.04</v>
      </c>
      <c r="K497" t="s">
        <v>24</v>
      </c>
      <c r="L497" t="s">
        <v>53</v>
      </c>
      <c r="M497" t="s">
        <v>67</v>
      </c>
    </row>
    <row r="498" spans="1:13">
      <c r="A498" s="4" t="s">
        <v>649</v>
      </c>
      <c r="B498" t="s">
        <v>121</v>
      </c>
      <c r="C498" s="2">
        <v>45687</v>
      </c>
      <c r="D498" s="4" t="s">
        <v>45</v>
      </c>
      <c r="E498" s="4" t="s">
        <v>23</v>
      </c>
      <c r="F498" s="6">
        <v>6</v>
      </c>
      <c r="G498" s="6">
        <v>520000</v>
      </c>
      <c r="H498" s="6">
        <v>3120000</v>
      </c>
      <c r="I498" s="6">
        <v>311176.03000000003</v>
      </c>
      <c r="J498" s="6">
        <v>1252943.82</v>
      </c>
      <c r="K498" t="s">
        <v>33</v>
      </c>
      <c r="L498" t="s">
        <v>18</v>
      </c>
      <c r="M498" t="s">
        <v>25</v>
      </c>
    </row>
    <row r="499" spans="1:13">
      <c r="A499" s="4" t="s">
        <v>650</v>
      </c>
      <c r="B499" t="s">
        <v>196</v>
      </c>
      <c r="C499" s="2">
        <v>45907</v>
      </c>
      <c r="D499" s="4" t="s">
        <v>52</v>
      </c>
      <c r="E499" s="4" t="s">
        <v>23</v>
      </c>
      <c r="F499" s="6">
        <v>9</v>
      </c>
      <c r="G499" s="6">
        <v>45000</v>
      </c>
      <c r="H499" s="6">
        <v>405000</v>
      </c>
      <c r="I499" s="6">
        <v>32768.559999999998</v>
      </c>
      <c r="J499" s="6">
        <v>110082.96</v>
      </c>
      <c r="K499" t="s">
        <v>24</v>
      </c>
      <c r="L499" t="s">
        <v>53</v>
      </c>
      <c r="M499" t="s">
        <v>38</v>
      </c>
    </row>
    <row r="500" spans="1:13">
      <c r="A500" s="4" t="s">
        <v>651</v>
      </c>
      <c r="B500" t="s">
        <v>176</v>
      </c>
      <c r="C500" s="2">
        <v>45709</v>
      </c>
      <c r="D500" s="4" t="s">
        <v>28</v>
      </c>
      <c r="E500" s="4" t="s">
        <v>23</v>
      </c>
      <c r="F500" s="6">
        <v>12</v>
      </c>
      <c r="G500" s="6">
        <v>180000</v>
      </c>
      <c r="H500" s="6">
        <v>2160000</v>
      </c>
      <c r="I500" s="6">
        <v>127367.76</v>
      </c>
      <c r="J500" s="6">
        <v>631586.88</v>
      </c>
      <c r="K500" t="s">
        <v>71</v>
      </c>
      <c r="L500" t="s">
        <v>18</v>
      </c>
      <c r="M500" t="s">
        <v>38</v>
      </c>
    </row>
    <row r="501" spans="1:13">
      <c r="A501" s="4" t="s">
        <v>652</v>
      </c>
      <c r="B501" t="s">
        <v>308</v>
      </c>
      <c r="C501" s="2">
        <v>45807</v>
      </c>
      <c r="D501" s="4" t="s">
        <v>63</v>
      </c>
      <c r="E501" s="4" t="s">
        <v>16</v>
      </c>
      <c r="F501" s="6">
        <v>6</v>
      </c>
      <c r="G501" s="6">
        <v>3000</v>
      </c>
      <c r="H501" s="6">
        <v>18000</v>
      </c>
      <c r="I501" s="6">
        <v>2112.73</v>
      </c>
      <c r="J501" s="6">
        <v>5323.62</v>
      </c>
      <c r="K501" t="s">
        <v>71</v>
      </c>
      <c r="L501" t="s">
        <v>53</v>
      </c>
      <c r="M501" t="s">
        <v>50</v>
      </c>
    </row>
    <row r="502" spans="1:13">
      <c r="A502" s="4" t="s">
        <v>653</v>
      </c>
      <c r="B502" t="s">
        <v>69</v>
      </c>
      <c r="C502" s="2">
        <v>45925</v>
      </c>
      <c r="D502" s="4" t="s">
        <v>22</v>
      </c>
      <c r="E502" s="4" t="s">
        <v>23</v>
      </c>
      <c r="F502" s="6">
        <v>6</v>
      </c>
      <c r="G502" s="6">
        <v>210000</v>
      </c>
      <c r="H502" s="6">
        <v>1260000</v>
      </c>
      <c r="I502" s="6">
        <v>132094.66</v>
      </c>
      <c r="J502" s="6">
        <v>467432.04</v>
      </c>
      <c r="K502" t="s">
        <v>24</v>
      </c>
      <c r="L502" t="s">
        <v>53</v>
      </c>
      <c r="M502" t="s">
        <v>19</v>
      </c>
    </row>
    <row r="503" spans="1:13">
      <c r="A503" s="4" t="s">
        <v>654</v>
      </c>
      <c r="B503" t="s">
        <v>65</v>
      </c>
      <c r="C503" s="2">
        <v>45678</v>
      </c>
      <c r="D503" s="4" t="s">
        <v>106</v>
      </c>
      <c r="E503" s="4" t="s">
        <v>23</v>
      </c>
      <c r="F503" s="6">
        <v>9</v>
      </c>
      <c r="G503" s="6">
        <v>120000</v>
      </c>
      <c r="H503" s="6">
        <v>1080000</v>
      </c>
      <c r="I503" s="6">
        <v>72990.98</v>
      </c>
      <c r="J503" s="6">
        <v>423081.18</v>
      </c>
      <c r="K503" t="s">
        <v>24</v>
      </c>
      <c r="L503" t="s">
        <v>29</v>
      </c>
      <c r="M503" t="s">
        <v>19</v>
      </c>
    </row>
    <row r="504" spans="1:13">
      <c r="A504" s="4" t="s">
        <v>655</v>
      </c>
      <c r="B504" t="s">
        <v>222</v>
      </c>
      <c r="C504" s="2">
        <v>45930</v>
      </c>
      <c r="D504" s="4" t="s">
        <v>48</v>
      </c>
      <c r="E504" s="4" t="s">
        <v>49</v>
      </c>
      <c r="F504" s="6">
        <v>12</v>
      </c>
      <c r="G504" s="6">
        <f>Cleaned_Data4[[#This Row],[Sales_Amount]]/Cleaned_Data4[[#This Row],[Quantity]]</f>
        <v>200000</v>
      </c>
      <c r="H504" s="6">
        <v>2400000</v>
      </c>
      <c r="I504" s="6">
        <v>149708.71</v>
      </c>
      <c r="J504" s="6">
        <v>603495.48</v>
      </c>
      <c r="K504" t="s">
        <v>80</v>
      </c>
      <c r="L504" t="s">
        <v>29</v>
      </c>
      <c r="M504" t="s">
        <v>67</v>
      </c>
    </row>
    <row r="505" spans="1:13">
      <c r="A505" s="4" t="s">
        <v>656</v>
      </c>
      <c r="B505" t="s">
        <v>159</v>
      </c>
      <c r="C505" s="2">
        <v>45988</v>
      </c>
      <c r="D505" s="4" t="s">
        <v>48</v>
      </c>
      <c r="E505" s="4" t="s">
        <v>49</v>
      </c>
      <c r="F505" s="6">
        <v>6</v>
      </c>
      <c r="G505" s="6">
        <v>140000</v>
      </c>
      <c r="H505" s="6">
        <v>840000</v>
      </c>
      <c r="I505" s="6">
        <v>105835.14</v>
      </c>
      <c r="J505" s="6">
        <v>204989.16</v>
      </c>
      <c r="K505" t="s">
        <v>80</v>
      </c>
      <c r="L505" t="s">
        <v>29</v>
      </c>
      <c r="M505" t="s">
        <v>38</v>
      </c>
    </row>
    <row r="506" spans="1:13">
      <c r="A506" s="4" t="s">
        <v>657</v>
      </c>
      <c r="B506" t="s">
        <v>176</v>
      </c>
      <c r="C506" s="2">
        <v>45867</v>
      </c>
      <c r="D506" s="4" t="s">
        <v>56</v>
      </c>
      <c r="E506" s="4" t="s">
        <v>23</v>
      </c>
      <c r="F506" s="6">
        <v>2</v>
      </c>
      <c r="G506" s="6">
        <v>45000</v>
      </c>
      <c r="H506" s="6">
        <v>90000</v>
      </c>
      <c r="I506" s="6">
        <v>32697.200000000001</v>
      </c>
      <c r="J506" s="6">
        <v>24605.599999999999</v>
      </c>
      <c r="K506" t="s">
        <v>17</v>
      </c>
      <c r="L506" t="s">
        <v>53</v>
      </c>
      <c r="M506" t="s">
        <v>50</v>
      </c>
    </row>
    <row r="507" spans="1:13">
      <c r="A507" s="4" t="s">
        <v>658</v>
      </c>
      <c r="B507" t="s">
        <v>193</v>
      </c>
      <c r="C507" s="2">
        <v>45962</v>
      </c>
      <c r="D507" s="4" t="s">
        <v>15</v>
      </c>
      <c r="E507" s="4" t="s">
        <v>16</v>
      </c>
      <c r="F507" s="6">
        <v>3</v>
      </c>
      <c r="G507" s="6">
        <v>10000</v>
      </c>
      <c r="H507" s="6">
        <v>30000</v>
      </c>
      <c r="I507" s="6">
        <v>7606.63</v>
      </c>
      <c r="J507" s="6">
        <v>7180.11</v>
      </c>
      <c r="K507" t="s">
        <v>80</v>
      </c>
      <c r="L507" t="s">
        <v>53</v>
      </c>
      <c r="M507" t="s">
        <v>38</v>
      </c>
    </row>
    <row r="508" spans="1:13">
      <c r="A508" s="4" t="s">
        <v>659</v>
      </c>
      <c r="B508" t="s">
        <v>365</v>
      </c>
      <c r="C508" s="2">
        <v>45952</v>
      </c>
      <c r="D508" s="4" t="s">
        <v>56</v>
      </c>
      <c r="E508" s="4" t="s">
        <v>23</v>
      </c>
      <c r="F508" s="6">
        <v>4</v>
      </c>
      <c r="G508" s="6">
        <v>45000</v>
      </c>
      <c r="H508" s="6">
        <v>180000</v>
      </c>
      <c r="I508" s="6">
        <v>30140.49</v>
      </c>
      <c r="J508" s="6">
        <v>59438.04</v>
      </c>
      <c r="K508" t="s">
        <v>33</v>
      </c>
      <c r="L508" t="s">
        <v>18</v>
      </c>
      <c r="M508" t="s">
        <v>25</v>
      </c>
    </row>
    <row r="509" spans="1:13">
      <c r="A509" s="4" t="s">
        <v>660</v>
      </c>
      <c r="B509" t="s">
        <v>196</v>
      </c>
      <c r="C509" s="2">
        <v>45807</v>
      </c>
      <c r="D509" s="4" t="s">
        <v>15</v>
      </c>
      <c r="E509" s="4" t="s">
        <v>16</v>
      </c>
      <c r="F509" s="6">
        <v>7</v>
      </c>
      <c r="G509" s="6">
        <v>8000</v>
      </c>
      <c r="H509" s="6">
        <v>56000</v>
      </c>
      <c r="I509" s="6">
        <v>5820.43</v>
      </c>
      <c r="J509" s="6">
        <v>15256.99</v>
      </c>
      <c r="K509" t="s">
        <v>33</v>
      </c>
      <c r="L509" t="s">
        <v>29</v>
      </c>
      <c r="M509" t="s">
        <v>50</v>
      </c>
    </row>
    <row r="510" spans="1:13">
      <c r="A510" s="4" t="s">
        <v>661</v>
      </c>
      <c r="B510" t="s">
        <v>302</v>
      </c>
      <c r="C510" s="2">
        <v>45870</v>
      </c>
      <c r="D510" s="4" t="s">
        <v>106</v>
      </c>
      <c r="E510" s="4" t="s">
        <v>23</v>
      </c>
      <c r="F510" s="6">
        <v>3</v>
      </c>
      <c r="G510" s="6">
        <v>200000</v>
      </c>
      <c r="H510" s="6">
        <v>600000</v>
      </c>
      <c r="I510" s="6">
        <v>138181.76000000001</v>
      </c>
      <c r="J510" s="6">
        <v>185454.72</v>
      </c>
      <c r="K510" t="s">
        <v>71</v>
      </c>
      <c r="L510" t="s">
        <v>53</v>
      </c>
      <c r="M510" t="s">
        <v>50</v>
      </c>
    </row>
    <row r="511" spans="1:13">
      <c r="A511" s="4" t="s">
        <v>662</v>
      </c>
      <c r="B511" t="s">
        <v>58</v>
      </c>
      <c r="C511" s="2">
        <v>45791</v>
      </c>
      <c r="D511" s="4" t="s">
        <v>63</v>
      </c>
      <c r="E511" s="4" t="s">
        <v>16</v>
      </c>
      <c r="F511" s="6">
        <v>6</v>
      </c>
      <c r="G511" s="6">
        <v>5000</v>
      </c>
      <c r="H511" s="6">
        <v>30000</v>
      </c>
      <c r="I511" s="6">
        <v>3572.42</v>
      </c>
      <c r="J511" s="6">
        <v>8565.48</v>
      </c>
      <c r="K511" t="s">
        <v>24</v>
      </c>
      <c r="L511" t="s">
        <v>53</v>
      </c>
      <c r="M511" t="s">
        <v>30</v>
      </c>
    </row>
    <row r="512" spans="1:13">
      <c r="A512" s="4" t="s">
        <v>663</v>
      </c>
      <c r="B512" t="s">
        <v>159</v>
      </c>
      <c r="C512" s="2">
        <v>45672</v>
      </c>
      <c r="D512" s="4" t="s">
        <v>66</v>
      </c>
      <c r="E512" s="4" t="s">
        <v>49</v>
      </c>
      <c r="F512" s="6">
        <v>7</v>
      </c>
      <c r="G512" s="6">
        <v>175000</v>
      </c>
      <c r="H512" s="6">
        <v>1225000</v>
      </c>
      <c r="I512" s="6">
        <v>111317.1</v>
      </c>
      <c r="J512" s="6">
        <v>445780.3</v>
      </c>
      <c r="K512" t="s">
        <v>24</v>
      </c>
      <c r="L512" t="s">
        <v>18</v>
      </c>
      <c r="M512" t="s">
        <v>25</v>
      </c>
    </row>
    <row r="513" spans="1:13">
      <c r="A513" s="4" t="s">
        <v>664</v>
      </c>
      <c r="B513" t="s">
        <v>161</v>
      </c>
      <c r="C513" s="2">
        <v>45703</v>
      </c>
      <c r="D513" s="4" t="s">
        <v>70</v>
      </c>
      <c r="E513" s="4" t="s">
        <v>16</v>
      </c>
      <c r="F513" s="6">
        <v>1</v>
      </c>
      <c r="G513" s="6">
        <v>15000</v>
      </c>
      <c r="H513" s="6">
        <v>15000</v>
      </c>
      <c r="I513" s="6">
        <v>9286.59</v>
      </c>
      <c r="J513" s="6">
        <v>5713.41</v>
      </c>
      <c r="K513" t="s">
        <v>80</v>
      </c>
      <c r="L513" t="s">
        <v>29</v>
      </c>
      <c r="M513" t="s">
        <v>38</v>
      </c>
    </row>
    <row r="514" spans="1:13">
      <c r="A514" s="4" t="s">
        <v>665</v>
      </c>
      <c r="B514" t="s">
        <v>193</v>
      </c>
      <c r="C514" s="2">
        <v>45819</v>
      </c>
      <c r="D514" s="4" t="s">
        <v>63</v>
      </c>
      <c r="E514" s="4" t="s">
        <v>16</v>
      </c>
      <c r="F514" s="6">
        <v>9</v>
      </c>
      <c r="G514" s="6">
        <v>5000</v>
      </c>
      <c r="H514" s="6">
        <v>45000</v>
      </c>
      <c r="I514" s="6">
        <v>3913.82</v>
      </c>
      <c r="J514" s="6">
        <v>9775.6200000000008</v>
      </c>
      <c r="K514" t="s">
        <v>80</v>
      </c>
      <c r="L514" t="s">
        <v>18</v>
      </c>
      <c r="M514" t="s">
        <v>19</v>
      </c>
    </row>
    <row r="515" spans="1:13">
      <c r="A515" s="4" t="s">
        <v>666</v>
      </c>
      <c r="B515" t="s">
        <v>94</v>
      </c>
      <c r="C515" s="2">
        <v>45784</v>
      </c>
      <c r="D515" s="4" t="s">
        <v>22</v>
      </c>
      <c r="E515" s="4" t="s">
        <v>23</v>
      </c>
      <c r="F515" s="6">
        <v>10</v>
      </c>
      <c r="G515" s="6">
        <v>280000</v>
      </c>
      <c r="H515" s="6">
        <v>2800000</v>
      </c>
      <c r="I515" s="6">
        <v>165070.64000000001</v>
      </c>
      <c r="J515" s="6">
        <v>1149293.6000000001</v>
      </c>
      <c r="K515" t="s">
        <v>80</v>
      </c>
      <c r="L515" t="s">
        <v>18</v>
      </c>
      <c r="M515" t="s">
        <v>25</v>
      </c>
    </row>
    <row r="516" spans="1:13">
      <c r="A516" s="4" t="s">
        <v>667</v>
      </c>
      <c r="B516" t="s">
        <v>450</v>
      </c>
      <c r="C516" s="2">
        <v>45691</v>
      </c>
      <c r="D516" s="4" t="s">
        <v>56</v>
      </c>
      <c r="E516" s="4" t="s">
        <v>23</v>
      </c>
      <c r="F516" s="6">
        <v>9</v>
      </c>
      <c r="G516" s="6">
        <v>70000</v>
      </c>
      <c r="H516" s="6">
        <v>630000</v>
      </c>
      <c r="I516" s="6">
        <v>45478.09</v>
      </c>
      <c r="J516" s="6">
        <v>220697.19</v>
      </c>
      <c r="K516" t="s">
        <v>71</v>
      </c>
      <c r="L516" t="s">
        <v>18</v>
      </c>
      <c r="M516" t="s">
        <v>38</v>
      </c>
    </row>
    <row r="517" spans="1:13">
      <c r="A517" s="4" t="s">
        <v>668</v>
      </c>
      <c r="B517" t="s">
        <v>261</v>
      </c>
      <c r="C517" s="2">
        <v>45705</v>
      </c>
      <c r="D517" s="4" t="s">
        <v>45</v>
      </c>
      <c r="E517" s="4" t="s">
        <v>23</v>
      </c>
      <c r="F517" s="6">
        <v>11</v>
      </c>
      <c r="G517" s="6">
        <v>520000</v>
      </c>
      <c r="H517" s="6">
        <v>5720000</v>
      </c>
      <c r="I517" s="6">
        <v>405102.64</v>
      </c>
      <c r="J517" s="6">
        <v>1263870.96</v>
      </c>
      <c r="K517" t="s">
        <v>17</v>
      </c>
      <c r="L517" t="s">
        <v>29</v>
      </c>
      <c r="M517" t="s">
        <v>34</v>
      </c>
    </row>
    <row r="518" spans="1:13">
      <c r="A518" s="4" t="s">
        <v>669</v>
      </c>
      <c r="B518" t="s">
        <v>391</v>
      </c>
      <c r="C518" s="2">
        <v>45824</v>
      </c>
      <c r="D518" s="4" t="s">
        <v>106</v>
      </c>
      <c r="E518" s="4" t="s">
        <v>23</v>
      </c>
      <c r="F518" s="6">
        <v>10</v>
      </c>
      <c r="G518" s="6">
        <v>120000</v>
      </c>
      <c r="H518" s="6">
        <v>1200000</v>
      </c>
      <c r="I518" s="6">
        <v>85946.23</v>
      </c>
      <c r="J518" s="6">
        <v>340537.7</v>
      </c>
      <c r="K518" t="s">
        <v>71</v>
      </c>
      <c r="L518" t="s">
        <v>53</v>
      </c>
      <c r="M518" t="s">
        <v>19</v>
      </c>
    </row>
    <row r="519" spans="1:13">
      <c r="A519" s="4" t="s">
        <v>670</v>
      </c>
      <c r="B519" t="s">
        <v>90</v>
      </c>
      <c r="C519" s="2">
        <v>45900</v>
      </c>
      <c r="D519" s="4" t="s">
        <v>70</v>
      </c>
      <c r="E519" s="4" t="s">
        <v>16</v>
      </c>
      <c r="F519" s="6">
        <v>2</v>
      </c>
      <c r="G519" s="6">
        <v>22000</v>
      </c>
      <c r="H519" s="6">
        <v>44000</v>
      </c>
      <c r="I519" s="6">
        <v>16047.84</v>
      </c>
      <c r="J519" s="6">
        <v>11904.32</v>
      </c>
      <c r="K519" t="s">
        <v>24</v>
      </c>
      <c r="L519" t="s">
        <v>29</v>
      </c>
      <c r="M519" t="s">
        <v>38</v>
      </c>
    </row>
    <row r="520" spans="1:13">
      <c r="A520" s="4" t="s">
        <v>671</v>
      </c>
      <c r="B520" t="s">
        <v>180</v>
      </c>
      <c r="C520" s="2">
        <v>45751</v>
      </c>
      <c r="D520" s="4" t="s">
        <v>37</v>
      </c>
      <c r="E520" s="4" t="s">
        <v>16</v>
      </c>
      <c r="F520" s="6">
        <v>12</v>
      </c>
      <c r="G520" s="6">
        <v>18000</v>
      </c>
      <c r="H520" s="6">
        <v>216000</v>
      </c>
      <c r="I520" s="6">
        <v>10449.01</v>
      </c>
      <c r="J520" s="6">
        <v>90611.88</v>
      </c>
      <c r="K520" t="s">
        <v>24</v>
      </c>
      <c r="L520" t="s">
        <v>53</v>
      </c>
      <c r="M520" t="s">
        <v>34</v>
      </c>
    </row>
    <row r="521" spans="1:13">
      <c r="A521" s="4" t="s">
        <v>672</v>
      </c>
      <c r="B521" t="s">
        <v>512</v>
      </c>
      <c r="C521" s="2">
        <v>45671</v>
      </c>
      <c r="D521" s="4" t="s">
        <v>48</v>
      </c>
      <c r="E521" s="4" t="s">
        <v>49</v>
      </c>
      <c r="F521" s="6">
        <v>12</v>
      </c>
      <c r="G521" s="6">
        <v>140000</v>
      </c>
      <c r="H521" s="6">
        <v>1680000</v>
      </c>
      <c r="I521" s="6">
        <v>112883.96</v>
      </c>
      <c r="J521" s="6">
        <v>325392.48</v>
      </c>
      <c r="K521" t="s">
        <v>80</v>
      </c>
      <c r="L521" t="s">
        <v>29</v>
      </c>
      <c r="M521" t="s">
        <v>34</v>
      </c>
    </row>
    <row r="522" spans="1:13">
      <c r="A522" s="4" t="s">
        <v>673</v>
      </c>
      <c r="B522" t="s">
        <v>450</v>
      </c>
      <c r="C522" s="2">
        <v>45794</v>
      </c>
      <c r="D522" s="4" t="s">
        <v>22</v>
      </c>
      <c r="E522" s="4" t="s">
        <v>23</v>
      </c>
      <c r="F522" s="6">
        <v>9</v>
      </c>
      <c r="G522" s="6">
        <v>150000</v>
      </c>
      <c r="H522" s="6">
        <v>1350000</v>
      </c>
      <c r="I522" s="6">
        <v>113434.81</v>
      </c>
      <c r="J522" s="6">
        <v>329086.71000000002</v>
      </c>
      <c r="K522" t="s">
        <v>17</v>
      </c>
      <c r="L522" t="s">
        <v>53</v>
      </c>
      <c r="M522" t="s">
        <v>25</v>
      </c>
    </row>
    <row r="523" spans="1:13">
      <c r="A523" s="4" t="s">
        <v>674</v>
      </c>
      <c r="B523" t="s">
        <v>165</v>
      </c>
      <c r="C523" s="2">
        <v>45741</v>
      </c>
      <c r="D523" s="4" t="s">
        <v>63</v>
      </c>
      <c r="E523" s="4" t="s">
        <v>16</v>
      </c>
      <c r="F523" s="6">
        <v>5</v>
      </c>
      <c r="G523" s="6">
        <v>7000</v>
      </c>
      <c r="H523" s="6">
        <v>35000</v>
      </c>
      <c r="I523" s="6">
        <v>5455.86</v>
      </c>
      <c r="J523" s="6">
        <v>7720.7</v>
      </c>
      <c r="K523" t="s">
        <v>24</v>
      </c>
      <c r="L523" t="s">
        <v>53</v>
      </c>
      <c r="M523" t="s">
        <v>30</v>
      </c>
    </row>
    <row r="524" spans="1:13">
      <c r="A524" s="4" t="s">
        <v>675</v>
      </c>
      <c r="B524" t="s">
        <v>58</v>
      </c>
      <c r="C524" s="2">
        <v>45870</v>
      </c>
      <c r="D524" s="4" t="s">
        <v>15</v>
      </c>
      <c r="E524" s="4" t="s">
        <v>16</v>
      </c>
      <c r="F524" s="6">
        <v>1</v>
      </c>
      <c r="G524" s="6">
        <v>12500</v>
      </c>
      <c r="H524" s="6">
        <v>12500</v>
      </c>
      <c r="I524" s="6">
        <v>8202.15</v>
      </c>
      <c r="J524" s="6">
        <v>4297.8500000000004</v>
      </c>
      <c r="K524" t="s">
        <v>17</v>
      </c>
      <c r="L524" t="s">
        <v>53</v>
      </c>
      <c r="M524" t="s">
        <v>67</v>
      </c>
    </row>
    <row r="525" spans="1:13">
      <c r="A525" s="4" t="s">
        <v>676</v>
      </c>
      <c r="B525" t="s">
        <v>308</v>
      </c>
      <c r="C525" s="2">
        <v>45922</v>
      </c>
      <c r="D525" s="4" t="s">
        <v>56</v>
      </c>
      <c r="E525" s="4" t="s">
        <v>23</v>
      </c>
      <c r="F525" s="6">
        <v>3</v>
      </c>
      <c r="G525" s="6">
        <v>70000</v>
      </c>
      <c r="H525" s="6">
        <v>210000</v>
      </c>
      <c r="I525" s="6">
        <v>48986.62</v>
      </c>
      <c r="J525" s="6">
        <v>63040.14</v>
      </c>
      <c r="K525" t="s">
        <v>80</v>
      </c>
      <c r="L525" t="s">
        <v>29</v>
      </c>
      <c r="M525" t="s">
        <v>38</v>
      </c>
    </row>
    <row r="526" spans="1:13">
      <c r="A526" s="4" t="s">
        <v>677</v>
      </c>
      <c r="B526" t="s">
        <v>331</v>
      </c>
      <c r="C526" s="2">
        <v>45768</v>
      </c>
      <c r="D526" s="4" t="s">
        <v>678</v>
      </c>
      <c r="E526" s="4" t="s">
        <v>23</v>
      </c>
      <c r="F526" s="6">
        <v>9</v>
      </c>
      <c r="G526" s="6">
        <v>150000</v>
      </c>
      <c r="H526" s="6">
        <v>1350000</v>
      </c>
      <c r="I526" s="6">
        <v>93300.46</v>
      </c>
      <c r="J526" s="6">
        <v>510295.86</v>
      </c>
      <c r="K526" t="s">
        <v>17</v>
      </c>
      <c r="L526" t="s">
        <v>53</v>
      </c>
      <c r="M526" t="s">
        <v>67</v>
      </c>
    </row>
    <row r="527" spans="1:13">
      <c r="A527" s="4" t="s">
        <v>679</v>
      </c>
      <c r="B527" t="s">
        <v>331</v>
      </c>
      <c r="C527" s="2">
        <v>45696</v>
      </c>
      <c r="D527" s="4" t="s">
        <v>28</v>
      </c>
      <c r="E527" s="4" t="s">
        <v>23</v>
      </c>
      <c r="F527" s="6">
        <v>12</v>
      </c>
      <c r="G527" s="6">
        <v>180000</v>
      </c>
      <c r="H527" s="6">
        <v>2160000</v>
      </c>
      <c r="I527" s="6">
        <v>127969.5</v>
      </c>
      <c r="J527" s="6">
        <v>624366</v>
      </c>
      <c r="K527" t="s">
        <v>33</v>
      </c>
      <c r="L527" t="s">
        <v>18</v>
      </c>
      <c r="M527" t="s">
        <v>50</v>
      </c>
    </row>
    <row r="528" spans="1:13">
      <c r="A528" s="4" t="s">
        <v>680</v>
      </c>
      <c r="B528" t="s">
        <v>343</v>
      </c>
      <c r="C528" s="2">
        <v>45718</v>
      </c>
      <c r="D528" s="4" t="s">
        <v>63</v>
      </c>
      <c r="E528" s="4" t="s">
        <v>16</v>
      </c>
      <c r="F528" s="6">
        <v>3</v>
      </c>
      <c r="G528" s="6">
        <v>7000</v>
      </c>
      <c r="H528" s="6">
        <v>21000</v>
      </c>
      <c r="I528" s="6">
        <v>4720.34</v>
      </c>
      <c r="J528" s="6">
        <v>6838.98</v>
      </c>
      <c r="K528" t="s">
        <v>71</v>
      </c>
      <c r="L528" t="s">
        <v>53</v>
      </c>
      <c r="M528" t="s">
        <v>34</v>
      </c>
    </row>
    <row r="529" spans="1:13">
      <c r="A529" s="4" t="s">
        <v>681</v>
      </c>
      <c r="B529" t="s">
        <v>73</v>
      </c>
      <c r="C529" s="2">
        <v>45883</v>
      </c>
      <c r="D529" s="4" t="s">
        <v>106</v>
      </c>
      <c r="E529" s="4" t="s">
        <v>23</v>
      </c>
      <c r="F529" s="6">
        <v>4</v>
      </c>
      <c r="G529" s="6">
        <v>200000</v>
      </c>
      <c r="H529" s="6">
        <v>800000</v>
      </c>
      <c r="I529" s="6">
        <v>144112.95000000001</v>
      </c>
      <c r="J529" s="6">
        <v>223548.2</v>
      </c>
      <c r="K529" t="s">
        <v>24</v>
      </c>
      <c r="L529" t="s">
        <v>53</v>
      </c>
      <c r="M529" t="s">
        <v>67</v>
      </c>
    </row>
    <row r="530" spans="1:13">
      <c r="A530" s="4" t="s">
        <v>682</v>
      </c>
      <c r="B530" t="s">
        <v>219</v>
      </c>
      <c r="C530" s="2">
        <v>45715</v>
      </c>
      <c r="D530" s="4" t="s">
        <v>52</v>
      </c>
      <c r="E530" s="4" t="s">
        <v>23</v>
      </c>
      <c r="F530" s="6">
        <v>1</v>
      </c>
      <c r="G530" s="6">
        <v>85000</v>
      </c>
      <c r="H530" s="6">
        <v>85000</v>
      </c>
      <c r="I530" s="6">
        <v>54910.6</v>
      </c>
      <c r="J530" s="6">
        <v>30089.4</v>
      </c>
      <c r="K530" t="s">
        <v>71</v>
      </c>
      <c r="L530" t="s">
        <v>18</v>
      </c>
      <c r="M530" t="s">
        <v>67</v>
      </c>
    </row>
    <row r="531" spans="1:13">
      <c r="A531" s="4" t="s">
        <v>683</v>
      </c>
      <c r="B531" t="s">
        <v>123</v>
      </c>
      <c r="C531" s="2">
        <v>45755</v>
      </c>
      <c r="D531" s="4" t="s">
        <v>66</v>
      </c>
      <c r="E531" s="4" t="s">
        <v>49</v>
      </c>
      <c r="F531" s="6">
        <v>10</v>
      </c>
      <c r="G531" s="6">
        <v>90000</v>
      </c>
      <c r="H531" s="6">
        <v>900000</v>
      </c>
      <c r="I531" s="6">
        <v>63942.2</v>
      </c>
      <c r="J531" s="6">
        <v>260578</v>
      </c>
      <c r="K531" t="s">
        <v>80</v>
      </c>
      <c r="L531" t="s">
        <v>29</v>
      </c>
      <c r="M531" t="s">
        <v>34</v>
      </c>
    </row>
    <row r="532" spans="1:13">
      <c r="A532" s="4" t="s">
        <v>684</v>
      </c>
      <c r="B532" t="s">
        <v>308</v>
      </c>
      <c r="C532" s="2">
        <v>45987</v>
      </c>
      <c r="D532" s="4" t="s">
        <v>52</v>
      </c>
      <c r="E532" s="4" t="s">
        <v>23</v>
      </c>
      <c r="F532" s="6">
        <v>9</v>
      </c>
      <c r="G532" s="6">
        <v>45000</v>
      </c>
      <c r="H532" s="6">
        <v>405000</v>
      </c>
      <c r="I532" s="6">
        <v>32677.15</v>
      </c>
      <c r="J532" s="6">
        <v>110905.65</v>
      </c>
      <c r="K532" t="s">
        <v>24</v>
      </c>
      <c r="L532" t="s">
        <v>53</v>
      </c>
      <c r="M532" t="s">
        <v>50</v>
      </c>
    </row>
    <row r="533" spans="1:13">
      <c r="A533" s="4" t="s">
        <v>685</v>
      </c>
      <c r="B533" t="s">
        <v>316</v>
      </c>
      <c r="C533" s="2">
        <v>45747</v>
      </c>
      <c r="D533" s="4" t="s">
        <v>48</v>
      </c>
      <c r="E533" s="4" t="s">
        <v>49</v>
      </c>
      <c r="F533" s="6">
        <v>9</v>
      </c>
      <c r="G533" s="6">
        <v>100000</v>
      </c>
      <c r="H533" s="6">
        <v>900000</v>
      </c>
      <c r="I533" s="6">
        <v>65943.75</v>
      </c>
      <c r="J533" s="6">
        <v>306506.25</v>
      </c>
      <c r="K533" t="s">
        <v>80</v>
      </c>
      <c r="L533" t="s">
        <v>53</v>
      </c>
      <c r="M533" t="s">
        <v>34</v>
      </c>
    </row>
    <row r="534" spans="1:13">
      <c r="A534" s="4" t="s">
        <v>686</v>
      </c>
      <c r="B534" t="s">
        <v>96</v>
      </c>
      <c r="C534" s="2">
        <v>45804</v>
      </c>
      <c r="D534" s="4" t="s">
        <v>15</v>
      </c>
      <c r="E534" s="4" t="s">
        <v>16</v>
      </c>
      <c r="F534" s="6">
        <v>11</v>
      </c>
      <c r="G534" s="6">
        <v>10000</v>
      </c>
      <c r="H534" s="6">
        <v>110000</v>
      </c>
      <c r="I534" s="6">
        <v>6151.43</v>
      </c>
      <c r="J534" s="6">
        <v>42334.27</v>
      </c>
      <c r="K534" t="s">
        <v>24</v>
      </c>
      <c r="L534" t="s">
        <v>53</v>
      </c>
      <c r="M534" t="s">
        <v>34</v>
      </c>
    </row>
    <row r="535" spans="1:13">
      <c r="A535" s="4" t="s">
        <v>687</v>
      </c>
      <c r="B535" t="s">
        <v>82</v>
      </c>
      <c r="C535" s="2">
        <v>45810</v>
      </c>
      <c r="D535" s="4" t="s">
        <v>48</v>
      </c>
      <c r="E535" s="4" t="s">
        <v>49</v>
      </c>
      <c r="F535" s="6">
        <v>7</v>
      </c>
      <c r="G535" s="6">
        <v>100000</v>
      </c>
      <c r="H535" s="6">
        <v>700000</v>
      </c>
      <c r="I535" s="6">
        <v>78900.38</v>
      </c>
      <c r="J535" s="6">
        <v>147697.34</v>
      </c>
      <c r="K535" t="s">
        <v>71</v>
      </c>
      <c r="L535" t="s">
        <v>53</v>
      </c>
      <c r="M535" t="s">
        <v>19</v>
      </c>
    </row>
    <row r="536" spans="1:13">
      <c r="A536" s="4" t="s">
        <v>688</v>
      </c>
      <c r="B536" t="s">
        <v>215</v>
      </c>
      <c r="C536" s="2">
        <v>45767</v>
      </c>
      <c r="D536" s="4" t="s">
        <v>106</v>
      </c>
      <c r="E536" s="4" t="s">
        <v>23</v>
      </c>
      <c r="F536" s="6">
        <v>2</v>
      </c>
      <c r="G536" s="6">
        <v>200000</v>
      </c>
      <c r="H536" s="6">
        <v>400000</v>
      </c>
      <c r="I536" s="6">
        <v>142485.72</v>
      </c>
      <c r="J536" s="6">
        <v>115028.56</v>
      </c>
      <c r="K536" t="s">
        <v>24</v>
      </c>
      <c r="L536" t="s">
        <v>18</v>
      </c>
      <c r="M536" t="s">
        <v>50</v>
      </c>
    </row>
    <row r="537" spans="1:13">
      <c r="A537" s="4" t="s">
        <v>689</v>
      </c>
      <c r="B537" t="s">
        <v>308</v>
      </c>
      <c r="C537" s="2">
        <v>45947</v>
      </c>
      <c r="D537" s="4" t="s">
        <v>28</v>
      </c>
      <c r="E537" s="4" t="s">
        <v>23</v>
      </c>
      <c r="F537" s="6">
        <v>1</v>
      </c>
      <c r="G537" s="6">
        <v>220000</v>
      </c>
      <c r="H537" s="6">
        <v>220000</v>
      </c>
      <c r="I537" s="6">
        <v>155728.95000000001</v>
      </c>
      <c r="J537" s="6">
        <v>64271.05</v>
      </c>
      <c r="K537" t="s">
        <v>24</v>
      </c>
      <c r="L537" t="s">
        <v>53</v>
      </c>
      <c r="M537" t="s">
        <v>25</v>
      </c>
    </row>
    <row r="538" spans="1:13">
      <c r="A538" s="4" t="s">
        <v>690</v>
      </c>
      <c r="B538" t="s">
        <v>222</v>
      </c>
      <c r="C538" s="2">
        <v>45895</v>
      </c>
      <c r="D538" s="4" t="s">
        <v>106</v>
      </c>
      <c r="E538" s="4" t="s">
        <v>23</v>
      </c>
      <c r="F538" s="6">
        <v>3</v>
      </c>
      <c r="G538" s="6">
        <v>150000</v>
      </c>
      <c r="H538" s="6">
        <v>450000</v>
      </c>
      <c r="I538" s="6">
        <v>102187.65</v>
      </c>
      <c r="J538" s="6">
        <v>143437.04999999999</v>
      </c>
      <c r="K538" t="s">
        <v>71</v>
      </c>
      <c r="L538" t="s">
        <v>53</v>
      </c>
      <c r="M538" t="s">
        <v>38</v>
      </c>
    </row>
    <row r="539" spans="1:13">
      <c r="A539" s="4" t="s">
        <v>691</v>
      </c>
      <c r="B539" t="s">
        <v>187</v>
      </c>
      <c r="C539" s="2">
        <v>45963</v>
      </c>
      <c r="D539" s="4" t="s">
        <v>66</v>
      </c>
      <c r="E539" s="4" t="s">
        <v>49</v>
      </c>
      <c r="F539" s="6">
        <v>11</v>
      </c>
      <c r="G539" s="6">
        <v>175000</v>
      </c>
      <c r="H539" s="6">
        <v>1925000</v>
      </c>
      <c r="I539" s="6">
        <v>121264.65</v>
      </c>
      <c r="J539" s="6">
        <v>591088.85</v>
      </c>
      <c r="K539" t="s">
        <v>17</v>
      </c>
      <c r="L539" t="s">
        <v>53</v>
      </c>
      <c r="M539" t="s">
        <v>30</v>
      </c>
    </row>
    <row r="540" spans="1:13">
      <c r="A540" s="4" t="s">
        <v>692</v>
      </c>
      <c r="B540" t="s">
        <v>117</v>
      </c>
      <c r="C540" s="2">
        <v>45840</v>
      </c>
      <c r="D540" s="4" t="s">
        <v>66</v>
      </c>
      <c r="E540" s="4" t="s">
        <v>49</v>
      </c>
      <c r="F540" s="6">
        <v>3</v>
      </c>
      <c r="G540" s="6">
        <v>90000</v>
      </c>
      <c r="H540" s="6">
        <v>270000</v>
      </c>
      <c r="I540" s="6">
        <v>57923.74</v>
      </c>
      <c r="J540" s="6">
        <v>96228.78</v>
      </c>
      <c r="K540" t="s">
        <v>71</v>
      </c>
      <c r="L540" t="s">
        <v>53</v>
      </c>
      <c r="M540" t="s">
        <v>19</v>
      </c>
    </row>
    <row r="541" spans="1:13">
      <c r="A541" s="4" t="s">
        <v>693</v>
      </c>
      <c r="B541" t="s">
        <v>180</v>
      </c>
      <c r="C541" s="2">
        <v>45691</v>
      </c>
      <c r="D541" s="4" t="s">
        <v>48</v>
      </c>
      <c r="E541" s="4" t="s">
        <v>49</v>
      </c>
      <c r="F541" s="6">
        <v>6</v>
      </c>
      <c r="G541" s="6">
        <v>140000</v>
      </c>
      <c r="H541" s="6">
        <v>840000</v>
      </c>
      <c r="I541" s="6">
        <v>101431.1</v>
      </c>
      <c r="J541" s="6">
        <v>231413.4</v>
      </c>
      <c r="K541" t="s">
        <v>24</v>
      </c>
      <c r="L541" t="s">
        <v>29</v>
      </c>
      <c r="M541" t="s">
        <v>38</v>
      </c>
    </row>
    <row r="542" spans="1:13">
      <c r="A542" s="4" t="s">
        <v>694</v>
      </c>
      <c r="B542" t="s">
        <v>75</v>
      </c>
      <c r="C542" s="2">
        <v>45883</v>
      </c>
      <c r="D542" s="4" t="s">
        <v>22</v>
      </c>
      <c r="E542" s="4" t="s">
        <v>23</v>
      </c>
      <c r="F542" s="6">
        <v>8</v>
      </c>
      <c r="G542" s="6">
        <v>210000</v>
      </c>
      <c r="H542" s="6">
        <v>1680000</v>
      </c>
      <c r="I542" s="6">
        <v>161017.45000000001</v>
      </c>
      <c r="J542" s="6">
        <v>391860.4</v>
      </c>
      <c r="K542" t="s">
        <v>33</v>
      </c>
      <c r="L542" t="s">
        <v>29</v>
      </c>
      <c r="M542" t="s">
        <v>50</v>
      </c>
    </row>
    <row r="543" spans="1:13">
      <c r="A543" s="4" t="s">
        <v>695</v>
      </c>
      <c r="B543" t="s">
        <v>250</v>
      </c>
      <c r="C543" s="2">
        <v>45731</v>
      </c>
      <c r="D543" s="4" t="s">
        <v>45</v>
      </c>
      <c r="E543" s="4" t="s">
        <v>23</v>
      </c>
      <c r="F543" s="6">
        <v>7</v>
      </c>
      <c r="G543" s="6">
        <v>650000</v>
      </c>
      <c r="H543" s="6">
        <v>4550000</v>
      </c>
      <c r="I543" s="6">
        <v>528313.26</v>
      </c>
      <c r="J543" s="6">
        <v>851807.18</v>
      </c>
      <c r="K543" t="s">
        <v>33</v>
      </c>
      <c r="L543" t="s">
        <v>29</v>
      </c>
      <c r="M543" t="s">
        <v>19</v>
      </c>
    </row>
    <row r="544" spans="1:13">
      <c r="A544" s="4" t="s">
        <v>696</v>
      </c>
      <c r="B544" t="s">
        <v>42</v>
      </c>
      <c r="C544" s="2">
        <v>45714</v>
      </c>
      <c r="D544" s="4" t="s">
        <v>66</v>
      </c>
      <c r="E544" s="4" t="s">
        <v>49</v>
      </c>
      <c r="F544" s="6">
        <v>2</v>
      </c>
      <c r="G544" s="6">
        <v>175000</v>
      </c>
      <c r="H544" s="6">
        <v>350000</v>
      </c>
      <c r="I544" s="6">
        <v>127105.55</v>
      </c>
      <c r="J544" s="6">
        <v>95788.9</v>
      </c>
      <c r="K544" t="s">
        <v>33</v>
      </c>
      <c r="L544" t="s">
        <v>53</v>
      </c>
      <c r="M544" t="s">
        <v>25</v>
      </c>
    </row>
    <row r="545" spans="1:13">
      <c r="A545" s="4" t="s">
        <v>697</v>
      </c>
      <c r="B545" t="s">
        <v>27</v>
      </c>
      <c r="C545" s="2">
        <v>45800</v>
      </c>
      <c r="D545" s="4" t="s">
        <v>28</v>
      </c>
      <c r="E545" s="4" t="s">
        <v>23</v>
      </c>
      <c r="F545" s="6">
        <v>5</v>
      </c>
      <c r="G545" s="6">
        <v>180000</v>
      </c>
      <c r="H545" s="6">
        <v>900000</v>
      </c>
      <c r="I545" s="6">
        <v>131002.46</v>
      </c>
      <c r="J545" s="6">
        <v>244987.7</v>
      </c>
      <c r="K545" t="s">
        <v>24</v>
      </c>
      <c r="L545" t="s">
        <v>53</v>
      </c>
      <c r="M545" t="s">
        <v>38</v>
      </c>
    </row>
    <row r="546" spans="1:13">
      <c r="A546" s="4" t="s">
        <v>698</v>
      </c>
      <c r="B546" t="s">
        <v>224</v>
      </c>
      <c r="C546" s="2">
        <v>45769</v>
      </c>
      <c r="D546" s="4" t="s">
        <v>419</v>
      </c>
      <c r="E546" s="4" t="s">
        <v>49</v>
      </c>
      <c r="F546" s="6">
        <v>8</v>
      </c>
      <c r="G546" s="6">
        <v>100000</v>
      </c>
      <c r="H546" s="6">
        <v>800000</v>
      </c>
      <c r="I546" s="6">
        <v>78867.37</v>
      </c>
      <c r="J546" s="6">
        <v>169061.04</v>
      </c>
      <c r="K546" t="s">
        <v>24</v>
      </c>
      <c r="L546" t="s">
        <v>53</v>
      </c>
      <c r="M546" t="s">
        <v>50</v>
      </c>
    </row>
    <row r="547" spans="1:13">
      <c r="A547" s="4" t="s">
        <v>699</v>
      </c>
      <c r="B547" t="s">
        <v>499</v>
      </c>
      <c r="C547" s="2">
        <v>45748</v>
      </c>
      <c r="D547" s="4" t="s">
        <v>15</v>
      </c>
      <c r="E547" s="4" t="s">
        <v>16</v>
      </c>
      <c r="F547" s="6">
        <v>4</v>
      </c>
      <c r="G547" s="6">
        <v>12500</v>
      </c>
      <c r="H547" s="6">
        <v>50000</v>
      </c>
      <c r="I547" s="6">
        <v>8204.01</v>
      </c>
      <c r="J547" s="6">
        <v>17183.96</v>
      </c>
      <c r="K547" t="s">
        <v>24</v>
      </c>
      <c r="L547" t="s">
        <v>18</v>
      </c>
      <c r="M547" t="s">
        <v>67</v>
      </c>
    </row>
    <row r="548" spans="1:13">
      <c r="A548" s="4" t="s">
        <v>700</v>
      </c>
      <c r="B548" t="s">
        <v>174</v>
      </c>
      <c r="C548" s="2">
        <v>45680</v>
      </c>
      <c r="D548" s="4" t="s">
        <v>106</v>
      </c>
      <c r="E548" s="4" t="s">
        <v>23</v>
      </c>
      <c r="F548" s="6">
        <v>12</v>
      </c>
      <c r="G548" s="6">
        <v>150000</v>
      </c>
      <c r="H548" s="6">
        <v>1800000</v>
      </c>
      <c r="I548" s="6">
        <v>106304.21</v>
      </c>
      <c r="J548" s="6">
        <v>524349.48</v>
      </c>
      <c r="K548" t="s">
        <v>17</v>
      </c>
      <c r="L548" t="s">
        <v>18</v>
      </c>
      <c r="M548" t="s">
        <v>19</v>
      </c>
    </row>
    <row r="549" spans="1:13">
      <c r="A549" s="4" t="s">
        <v>701</v>
      </c>
      <c r="B549" t="s">
        <v>115</v>
      </c>
      <c r="C549" s="2">
        <v>45747</v>
      </c>
      <c r="D549" s="4" t="s">
        <v>70</v>
      </c>
      <c r="E549" s="4" t="s">
        <v>16</v>
      </c>
      <c r="F549" s="6">
        <v>3</v>
      </c>
      <c r="G549" s="6">
        <v>22000</v>
      </c>
      <c r="H549" s="6">
        <v>66000</v>
      </c>
      <c r="I549" s="6">
        <v>15572.03</v>
      </c>
      <c r="J549" s="6">
        <v>19283.91</v>
      </c>
      <c r="K549" t="s">
        <v>33</v>
      </c>
      <c r="L549" t="s">
        <v>18</v>
      </c>
      <c r="M549" t="s">
        <v>34</v>
      </c>
    </row>
    <row r="550" spans="1:13">
      <c r="A550" s="4" t="s">
        <v>702</v>
      </c>
      <c r="B550" t="s">
        <v>154</v>
      </c>
      <c r="C550" s="2">
        <v>45786</v>
      </c>
      <c r="D550" s="4" t="s">
        <v>45</v>
      </c>
      <c r="E550" s="4" t="s">
        <v>23</v>
      </c>
      <c r="F550" s="6">
        <v>4</v>
      </c>
      <c r="G550" s="6">
        <v>650000</v>
      </c>
      <c r="H550" s="6">
        <v>2600000</v>
      </c>
      <c r="I550" s="6">
        <v>512540.59</v>
      </c>
      <c r="J550" s="6">
        <v>549837.64</v>
      </c>
      <c r="K550" t="s">
        <v>71</v>
      </c>
      <c r="L550" t="s">
        <v>18</v>
      </c>
      <c r="M550" t="s">
        <v>38</v>
      </c>
    </row>
    <row r="551" spans="1:13">
      <c r="A551" s="4" t="s">
        <v>703</v>
      </c>
      <c r="B551" t="s">
        <v>117</v>
      </c>
      <c r="C551" s="2">
        <v>45917</v>
      </c>
      <c r="D551" s="4" t="s">
        <v>45</v>
      </c>
      <c r="E551" s="4" t="s">
        <v>23</v>
      </c>
      <c r="F551" s="6">
        <v>11</v>
      </c>
      <c r="G551" s="6">
        <v>450000</v>
      </c>
      <c r="H551" s="6">
        <v>4950000</v>
      </c>
      <c r="I551" s="6">
        <v>348765.38</v>
      </c>
      <c r="J551" s="6">
        <v>1113580.82</v>
      </c>
      <c r="K551" t="s">
        <v>80</v>
      </c>
      <c r="L551" t="s">
        <v>18</v>
      </c>
      <c r="M551" t="s">
        <v>50</v>
      </c>
    </row>
    <row r="552" spans="1:13">
      <c r="A552" s="4" t="s">
        <v>704</v>
      </c>
      <c r="B552" t="s">
        <v>103</v>
      </c>
      <c r="C552" s="2">
        <v>45967</v>
      </c>
      <c r="D552" s="4" t="s">
        <v>37</v>
      </c>
      <c r="E552" s="4" t="s">
        <v>16</v>
      </c>
      <c r="F552" s="6">
        <v>3</v>
      </c>
      <c r="G552" s="6">
        <v>18000</v>
      </c>
      <c r="H552" s="6">
        <v>54000</v>
      </c>
      <c r="I552" s="6">
        <v>10665.42</v>
      </c>
      <c r="J552" s="6">
        <v>22003.74</v>
      </c>
      <c r="K552" t="s">
        <v>24</v>
      </c>
      <c r="L552" t="s">
        <v>18</v>
      </c>
      <c r="M552" t="s">
        <v>67</v>
      </c>
    </row>
    <row r="553" spans="1:13">
      <c r="A553" s="4" t="s">
        <v>705</v>
      </c>
      <c r="B553" t="s">
        <v>84</v>
      </c>
      <c r="C553" s="2">
        <v>45684</v>
      </c>
      <c r="D553" s="4" t="s">
        <v>28</v>
      </c>
      <c r="E553" s="4" t="s">
        <v>23</v>
      </c>
      <c r="F553" s="6">
        <v>4</v>
      </c>
      <c r="G553" s="6">
        <v>180000</v>
      </c>
      <c r="H553" s="6">
        <v>720000</v>
      </c>
      <c r="I553" s="6">
        <v>136892.18</v>
      </c>
      <c r="J553" s="6">
        <v>172431.28</v>
      </c>
      <c r="K553" t="s">
        <v>71</v>
      </c>
      <c r="L553" t="s">
        <v>29</v>
      </c>
      <c r="M553" t="s">
        <v>25</v>
      </c>
    </row>
    <row r="554" spans="1:13">
      <c r="A554" s="4" t="s">
        <v>706</v>
      </c>
      <c r="B554" t="s">
        <v>450</v>
      </c>
      <c r="C554" s="2">
        <v>45712</v>
      </c>
      <c r="D554" s="4" t="s">
        <v>56</v>
      </c>
      <c r="E554" s="4" t="s">
        <v>23</v>
      </c>
      <c r="F554" s="6">
        <v>6</v>
      </c>
      <c r="G554" s="6">
        <f>Cleaned_Data4[[#This Row],[Sales_Amount]]/Cleaned_Data4[[#This Row],[Quantity]]</f>
        <v>70000</v>
      </c>
      <c r="H554" s="6">
        <v>420000</v>
      </c>
      <c r="I554" s="6">
        <v>51510.78</v>
      </c>
      <c r="J554" s="6">
        <v>110935.32</v>
      </c>
      <c r="K554" t="s">
        <v>24</v>
      </c>
      <c r="L554" t="s">
        <v>29</v>
      </c>
      <c r="M554" t="s">
        <v>30</v>
      </c>
    </row>
    <row r="555" spans="1:13">
      <c r="A555" s="4" t="s">
        <v>707</v>
      </c>
      <c r="B555" t="s">
        <v>245</v>
      </c>
      <c r="C555" s="2">
        <v>46017</v>
      </c>
      <c r="D555" s="4" t="s">
        <v>66</v>
      </c>
      <c r="E555" s="4" t="s">
        <v>49</v>
      </c>
      <c r="F555" s="6">
        <v>3</v>
      </c>
      <c r="G555" s="6">
        <v>90000</v>
      </c>
      <c r="H555" s="6">
        <v>270000</v>
      </c>
      <c r="I555" s="6">
        <v>67216.149999999994</v>
      </c>
      <c r="J555" s="6">
        <v>68351.55</v>
      </c>
      <c r="K555" t="s">
        <v>17</v>
      </c>
      <c r="L555" t="s">
        <v>29</v>
      </c>
      <c r="M555" t="s">
        <v>30</v>
      </c>
    </row>
    <row r="556" spans="1:13">
      <c r="A556" s="4" t="s">
        <v>708</v>
      </c>
      <c r="B556" t="s">
        <v>79</v>
      </c>
      <c r="C556" s="2">
        <v>45725</v>
      </c>
      <c r="D556" s="4" t="s">
        <v>52</v>
      </c>
      <c r="E556" s="4" t="s">
        <v>23</v>
      </c>
      <c r="F556" s="6">
        <v>12</v>
      </c>
      <c r="G556" s="6">
        <v>85000</v>
      </c>
      <c r="H556" s="6">
        <v>1020000</v>
      </c>
      <c r="I556" s="6">
        <v>69193.66</v>
      </c>
      <c r="J556" s="6">
        <v>189676.08</v>
      </c>
      <c r="K556" t="s">
        <v>33</v>
      </c>
      <c r="L556" t="s">
        <v>18</v>
      </c>
      <c r="M556" t="s">
        <v>38</v>
      </c>
    </row>
    <row r="557" spans="1:13">
      <c r="A557" s="4" t="s">
        <v>709</v>
      </c>
      <c r="B557" t="s">
        <v>219</v>
      </c>
      <c r="C557" s="2">
        <v>45936</v>
      </c>
      <c r="D557" s="4" t="s">
        <v>70</v>
      </c>
      <c r="E557" s="4" t="s">
        <v>16</v>
      </c>
      <c r="F557" s="6">
        <v>9</v>
      </c>
      <c r="G557" s="6">
        <v>22000</v>
      </c>
      <c r="H557" s="6">
        <v>198000</v>
      </c>
      <c r="I557" s="6">
        <v>13245.47</v>
      </c>
      <c r="J557" s="6">
        <v>78790.77</v>
      </c>
      <c r="K557" t="s">
        <v>71</v>
      </c>
      <c r="L557" t="s">
        <v>18</v>
      </c>
      <c r="M557" t="s">
        <v>19</v>
      </c>
    </row>
    <row r="558" spans="1:13">
      <c r="A558" s="4" t="s">
        <v>710</v>
      </c>
      <c r="B558" t="s">
        <v>630</v>
      </c>
      <c r="C558" s="2">
        <v>46011</v>
      </c>
      <c r="D558" s="4" t="s">
        <v>70</v>
      </c>
      <c r="E558" s="4" t="s">
        <v>16</v>
      </c>
      <c r="F558" s="6">
        <v>8</v>
      </c>
      <c r="G558" s="6">
        <v>22000</v>
      </c>
      <c r="H558" s="6">
        <v>176000</v>
      </c>
      <c r="I558" s="6">
        <v>16185.91</v>
      </c>
      <c r="J558" s="6">
        <v>46512.72</v>
      </c>
      <c r="K558" t="s">
        <v>17</v>
      </c>
      <c r="L558" t="s">
        <v>53</v>
      </c>
      <c r="M558" t="s">
        <v>38</v>
      </c>
    </row>
    <row r="559" spans="1:13">
      <c r="A559" s="4" t="s">
        <v>711</v>
      </c>
      <c r="B559" t="s">
        <v>86</v>
      </c>
      <c r="C559" s="2">
        <v>45855</v>
      </c>
      <c r="D559" s="4" t="s">
        <v>52</v>
      </c>
      <c r="E559" s="4" t="s">
        <v>23</v>
      </c>
      <c r="F559" s="6">
        <v>3</v>
      </c>
      <c r="G559" s="6">
        <v>85000</v>
      </c>
      <c r="H559" s="6">
        <v>255000</v>
      </c>
      <c r="I559" s="6">
        <v>67498.06</v>
      </c>
      <c r="J559" s="6">
        <v>52505.82</v>
      </c>
      <c r="K559" t="s">
        <v>17</v>
      </c>
      <c r="L559" t="s">
        <v>53</v>
      </c>
      <c r="M559" t="s">
        <v>38</v>
      </c>
    </row>
    <row r="560" spans="1:13">
      <c r="A560" s="4" t="s">
        <v>712</v>
      </c>
      <c r="B560" t="s">
        <v>512</v>
      </c>
      <c r="C560" s="2">
        <v>46014</v>
      </c>
      <c r="D560" s="4" t="s">
        <v>28</v>
      </c>
      <c r="E560" s="4" t="s">
        <v>23</v>
      </c>
      <c r="F560" s="6">
        <v>3</v>
      </c>
      <c r="G560" s="6">
        <v>220000</v>
      </c>
      <c r="H560" s="6">
        <v>660000</v>
      </c>
      <c r="I560" s="6">
        <v>135546.29999999999</v>
      </c>
      <c r="J560" s="6">
        <v>253361.1</v>
      </c>
      <c r="K560" t="s">
        <v>33</v>
      </c>
      <c r="L560" t="s">
        <v>18</v>
      </c>
      <c r="M560" t="s">
        <v>67</v>
      </c>
    </row>
    <row r="561" spans="1:13">
      <c r="A561" s="4" t="s">
        <v>713</v>
      </c>
      <c r="B561" t="s">
        <v>65</v>
      </c>
      <c r="C561" s="2">
        <v>45667</v>
      </c>
      <c r="D561" s="4" t="s">
        <v>66</v>
      </c>
      <c r="E561" s="4" t="s">
        <v>49</v>
      </c>
      <c r="F561" s="6">
        <v>2</v>
      </c>
      <c r="G561" s="6">
        <v>120000</v>
      </c>
      <c r="H561" s="6">
        <v>240000</v>
      </c>
      <c r="I561" s="6">
        <v>94907.19</v>
      </c>
      <c r="J561" s="6">
        <v>50185.62</v>
      </c>
      <c r="K561" t="s">
        <v>71</v>
      </c>
      <c r="L561" t="s">
        <v>53</v>
      </c>
      <c r="M561" t="s">
        <v>50</v>
      </c>
    </row>
    <row r="562" spans="1:13">
      <c r="A562" s="4" t="s">
        <v>714</v>
      </c>
      <c r="B562" t="s">
        <v>299</v>
      </c>
      <c r="C562" s="2">
        <v>45666</v>
      </c>
      <c r="D562" s="4" t="s">
        <v>28</v>
      </c>
      <c r="E562" s="4" t="s">
        <v>23</v>
      </c>
      <c r="F562" s="6">
        <v>10</v>
      </c>
      <c r="G562" s="6">
        <v>180000</v>
      </c>
      <c r="H562" s="6">
        <v>1800000</v>
      </c>
      <c r="I562" s="6">
        <v>104995.88</v>
      </c>
      <c r="J562" s="6">
        <v>750041.2</v>
      </c>
      <c r="K562" t="s">
        <v>71</v>
      </c>
      <c r="L562" t="s">
        <v>53</v>
      </c>
      <c r="M562" t="s">
        <v>34</v>
      </c>
    </row>
    <row r="563" spans="1:13">
      <c r="A563" s="4" t="s">
        <v>715</v>
      </c>
      <c r="B563" t="s">
        <v>250</v>
      </c>
      <c r="C563" s="2">
        <v>45831</v>
      </c>
      <c r="D563" s="4" t="s">
        <v>106</v>
      </c>
      <c r="E563" s="4" t="s">
        <v>23</v>
      </c>
      <c r="F563" s="6">
        <v>4</v>
      </c>
      <c r="G563" s="6">
        <v>150000</v>
      </c>
      <c r="H563" s="6">
        <v>600000</v>
      </c>
      <c r="I563" s="6">
        <v>115048.24</v>
      </c>
      <c r="J563" s="6">
        <v>139807.04000000001</v>
      </c>
      <c r="K563" t="s">
        <v>33</v>
      </c>
      <c r="L563" t="s">
        <v>18</v>
      </c>
      <c r="M563" t="s">
        <v>67</v>
      </c>
    </row>
    <row r="564" spans="1:13">
      <c r="A564" s="4" t="s">
        <v>716</v>
      </c>
      <c r="B564" t="s">
        <v>250</v>
      </c>
      <c r="C564" s="2">
        <v>45916</v>
      </c>
      <c r="D564" s="4" t="s">
        <v>15</v>
      </c>
      <c r="E564" s="4" t="s">
        <v>16</v>
      </c>
      <c r="F564" s="6">
        <v>8</v>
      </c>
      <c r="G564" s="6">
        <v>10000</v>
      </c>
      <c r="H564" s="6">
        <v>80000</v>
      </c>
      <c r="I564" s="6">
        <v>7886.6</v>
      </c>
      <c r="J564" s="6">
        <v>16907.2</v>
      </c>
      <c r="K564" t="s">
        <v>80</v>
      </c>
      <c r="L564" t="s">
        <v>29</v>
      </c>
      <c r="M564" t="s">
        <v>50</v>
      </c>
    </row>
    <row r="565" spans="1:13">
      <c r="A565" s="4" t="s">
        <v>717</v>
      </c>
      <c r="B565" t="s">
        <v>113</v>
      </c>
      <c r="C565" s="2">
        <v>45728</v>
      </c>
      <c r="D565" s="4" t="s">
        <v>37</v>
      </c>
      <c r="E565" s="4" t="s">
        <v>16</v>
      </c>
      <c r="F565" s="6">
        <v>7</v>
      </c>
      <c r="G565" s="6">
        <v>18000</v>
      </c>
      <c r="H565" s="6">
        <v>126000</v>
      </c>
      <c r="I565" s="6">
        <v>14405.85</v>
      </c>
      <c r="J565" s="6">
        <v>25159.05</v>
      </c>
      <c r="K565" t="s">
        <v>33</v>
      </c>
      <c r="L565" t="s">
        <v>18</v>
      </c>
      <c r="M565" t="s">
        <v>19</v>
      </c>
    </row>
    <row r="566" spans="1:13">
      <c r="A566" s="4" t="s">
        <v>718</v>
      </c>
      <c r="B566" t="s">
        <v>88</v>
      </c>
      <c r="C566" s="2">
        <v>45869</v>
      </c>
      <c r="D566" s="4" t="s">
        <v>22</v>
      </c>
      <c r="E566" s="4" t="s">
        <v>23</v>
      </c>
      <c r="F566" s="6">
        <v>4</v>
      </c>
      <c r="G566" s="6">
        <v>280000</v>
      </c>
      <c r="H566" s="6">
        <v>1120000</v>
      </c>
      <c r="I566" s="6">
        <v>178776.04</v>
      </c>
      <c r="J566" s="6">
        <v>404895.84</v>
      </c>
      <c r="K566" t="s">
        <v>80</v>
      </c>
      <c r="L566" t="s">
        <v>29</v>
      </c>
      <c r="M566" t="s">
        <v>67</v>
      </c>
    </row>
    <row r="567" spans="1:13">
      <c r="A567" s="4" t="s">
        <v>719</v>
      </c>
      <c r="B567" t="s">
        <v>103</v>
      </c>
      <c r="C567" s="2">
        <v>45710</v>
      </c>
      <c r="D567" s="4" t="s">
        <v>66</v>
      </c>
      <c r="E567" s="4" t="s">
        <v>49</v>
      </c>
      <c r="F567" s="6">
        <v>1</v>
      </c>
      <c r="G567" s="6">
        <v>175000</v>
      </c>
      <c r="H567" s="6">
        <v>175000</v>
      </c>
      <c r="I567" s="6">
        <v>113442.25</v>
      </c>
      <c r="J567" s="6">
        <v>61557.75</v>
      </c>
      <c r="K567" t="s">
        <v>80</v>
      </c>
      <c r="L567" t="s">
        <v>29</v>
      </c>
      <c r="M567" t="s">
        <v>50</v>
      </c>
    </row>
    <row r="568" spans="1:13">
      <c r="A568" s="4" t="s">
        <v>720</v>
      </c>
      <c r="B568" t="s">
        <v>161</v>
      </c>
      <c r="C568" s="2">
        <v>46015</v>
      </c>
      <c r="D568" s="4" t="s">
        <v>37</v>
      </c>
      <c r="E568" s="4" t="s">
        <v>16</v>
      </c>
      <c r="F568" s="6">
        <v>4</v>
      </c>
      <c r="G568" s="6">
        <v>25000</v>
      </c>
      <c r="H568" s="6">
        <v>100000</v>
      </c>
      <c r="I568" s="6">
        <v>16797.830000000002</v>
      </c>
      <c r="J568" s="6">
        <v>32808.68</v>
      </c>
      <c r="K568" t="s">
        <v>80</v>
      </c>
      <c r="L568" t="s">
        <v>53</v>
      </c>
      <c r="M568" t="s">
        <v>19</v>
      </c>
    </row>
    <row r="569" spans="1:13">
      <c r="A569" s="4" t="s">
        <v>721</v>
      </c>
      <c r="B569" t="s">
        <v>90</v>
      </c>
      <c r="C569" s="2">
        <v>45750</v>
      </c>
      <c r="D569" s="4" t="s">
        <v>70</v>
      </c>
      <c r="E569" s="4" t="s">
        <v>16</v>
      </c>
      <c r="F569" s="6">
        <v>3</v>
      </c>
      <c r="G569" s="6">
        <v>35000</v>
      </c>
      <c r="H569" s="6">
        <v>105000</v>
      </c>
      <c r="I569" s="6">
        <v>28518</v>
      </c>
      <c r="J569" s="6">
        <v>19446</v>
      </c>
      <c r="K569" t="s">
        <v>80</v>
      </c>
      <c r="L569" t="s">
        <v>29</v>
      </c>
      <c r="M569" t="s">
        <v>30</v>
      </c>
    </row>
    <row r="570" spans="1:13">
      <c r="A570" s="4" t="s">
        <v>722</v>
      </c>
      <c r="B570" t="s">
        <v>129</v>
      </c>
      <c r="C570" s="2">
        <v>45826</v>
      </c>
      <c r="D570" s="4" t="s">
        <v>63</v>
      </c>
      <c r="E570" s="4" t="s">
        <v>16</v>
      </c>
      <c r="F570" s="6">
        <v>10</v>
      </c>
      <c r="G570" s="6">
        <v>7000</v>
      </c>
      <c r="H570" s="6">
        <v>70000</v>
      </c>
      <c r="I570" s="6">
        <v>4715.12</v>
      </c>
      <c r="J570" s="6">
        <v>22848.799999999999</v>
      </c>
      <c r="K570" t="s">
        <v>71</v>
      </c>
      <c r="L570" t="s">
        <v>29</v>
      </c>
      <c r="M570" t="s">
        <v>50</v>
      </c>
    </row>
    <row r="571" spans="1:13">
      <c r="A571" s="4" t="s">
        <v>723</v>
      </c>
      <c r="B571" t="s">
        <v>115</v>
      </c>
      <c r="C571" s="2">
        <v>46014</v>
      </c>
      <c r="D571" s="4" t="s">
        <v>66</v>
      </c>
      <c r="E571" s="4" t="s">
        <v>49</v>
      </c>
      <c r="F571" s="6">
        <v>11</v>
      </c>
      <c r="G571" s="6">
        <v>90000</v>
      </c>
      <c r="H571" s="6">
        <v>990000</v>
      </c>
      <c r="I571" s="6">
        <v>73205.929999999993</v>
      </c>
      <c r="J571" s="6">
        <v>184734.77</v>
      </c>
      <c r="K571" t="s">
        <v>71</v>
      </c>
      <c r="L571" t="s">
        <v>29</v>
      </c>
      <c r="M571" t="s">
        <v>38</v>
      </c>
    </row>
    <row r="572" spans="1:13">
      <c r="A572" s="4" t="s">
        <v>724</v>
      </c>
      <c r="B572" t="s">
        <v>222</v>
      </c>
      <c r="C572" s="2">
        <v>45686</v>
      </c>
      <c r="D572" s="4" t="s">
        <v>22</v>
      </c>
      <c r="E572" s="4" t="s">
        <v>23</v>
      </c>
      <c r="F572" s="6">
        <v>8</v>
      </c>
      <c r="G572" s="6">
        <v>280000</v>
      </c>
      <c r="H572" s="6">
        <v>2240000</v>
      </c>
      <c r="I572" s="6">
        <v>187580.17</v>
      </c>
      <c r="J572" s="6">
        <v>739358.64</v>
      </c>
      <c r="K572" t="s">
        <v>24</v>
      </c>
      <c r="L572" t="s">
        <v>18</v>
      </c>
      <c r="M572" t="s">
        <v>30</v>
      </c>
    </row>
    <row r="573" spans="1:13">
      <c r="A573" s="4" t="s">
        <v>725</v>
      </c>
      <c r="B573" t="s">
        <v>261</v>
      </c>
      <c r="C573" s="2">
        <v>45839</v>
      </c>
      <c r="D573" s="4" t="s">
        <v>52</v>
      </c>
      <c r="E573" s="4" t="s">
        <v>23</v>
      </c>
      <c r="F573" s="6">
        <v>2</v>
      </c>
      <c r="G573" s="6">
        <v>65000</v>
      </c>
      <c r="H573" s="6">
        <v>130000</v>
      </c>
      <c r="I573" s="6">
        <v>51143.519999999997</v>
      </c>
      <c r="J573" s="6">
        <v>27712.959999999999</v>
      </c>
      <c r="K573" t="s">
        <v>80</v>
      </c>
      <c r="L573" t="s">
        <v>53</v>
      </c>
      <c r="M573" t="s">
        <v>30</v>
      </c>
    </row>
    <row r="574" spans="1:13">
      <c r="A574" s="4" t="s">
        <v>726</v>
      </c>
      <c r="B574" t="s">
        <v>105</v>
      </c>
      <c r="C574" s="2">
        <v>45939</v>
      </c>
      <c r="D574" s="4" t="s">
        <v>70</v>
      </c>
      <c r="E574" s="4" t="s">
        <v>16</v>
      </c>
      <c r="F574" s="6">
        <v>6</v>
      </c>
      <c r="G574" s="6">
        <v>22000</v>
      </c>
      <c r="H574" s="6">
        <v>132000</v>
      </c>
      <c r="I574" s="6">
        <v>16471.07</v>
      </c>
      <c r="J574" s="6">
        <v>33173.58</v>
      </c>
      <c r="K574" t="s">
        <v>24</v>
      </c>
      <c r="L574" t="s">
        <v>29</v>
      </c>
      <c r="M574" t="s">
        <v>50</v>
      </c>
    </row>
    <row r="575" spans="1:13">
      <c r="A575" s="4" t="s">
        <v>727</v>
      </c>
      <c r="B575" t="s">
        <v>417</v>
      </c>
      <c r="C575" s="2">
        <v>45890</v>
      </c>
      <c r="D575" s="4" t="s">
        <v>37</v>
      </c>
      <c r="E575" s="4" t="s">
        <v>16</v>
      </c>
      <c r="F575" s="6">
        <v>2</v>
      </c>
      <c r="G575" s="6">
        <v>18000</v>
      </c>
      <c r="H575" s="6">
        <v>36000</v>
      </c>
      <c r="I575" s="6">
        <v>11840</v>
      </c>
      <c r="J575" s="6">
        <f>H575 - (F575 * I575)</f>
        <v>12320</v>
      </c>
      <c r="K575" t="s">
        <v>71</v>
      </c>
      <c r="L575" t="s">
        <v>18</v>
      </c>
      <c r="M575" t="s">
        <v>38</v>
      </c>
    </row>
    <row r="576" spans="1:13">
      <c r="A576" s="4" t="s">
        <v>728</v>
      </c>
      <c r="B576" t="s">
        <v>200</v>
      </c>
      <c r="C576" s="2">
        <v>45804</v>
      </c>
      <c r="D576" s="4" t="s">
        <v>28</v>
      </c>
      <c r="E576" s="4" t="s">
        <v>23</v>
      </c>
      <c r="F576" s="6">
        <v>9</v>
      </c>
      <c r="G576" s="6">
        <v>220000</v>
      </c>
      <c r="H576" s="6">
        <v>1980000</v>
      </c>
      <c r="I576" s="6">
        <v>173952.78</v>
      </c>
      <c r="J576" s="6">
        <v>414424.98</v>
      </c>
      <c r="K576" t="s">
        <v>80</v>
      </c>
      <c r="L576" t="s">
        <v>18</v>
      </c>
      <c r="M576" t="s">
        <v>30</v>
      </c>
    </row>
    <row r="577" spans="1:13">
      <c r="A577" s="4" t="s">
        <v>729</v>
      </c>
      <c r="B577" t="s">
        <v>292</v>
      </c>
      <c r="C577" s="2">
        <v>46011</v>
      </c>
      <c r="D577" s="4" t="s">
        <v>56</v>
      </c>
      <c r="E577" s="4" t="s">
        <v>23</v>
      </c>
      <c r="F577" s="6">
        <v>4</v>
      </c>
      <c r="G577" s="6">
        <v>70000</v>
      </c>
      <c r="H577" s="6">
        <v>280000</v>
      </c>
      <c r="I577" s="6">
        <v>45836.83</v>
      </c>
      <c r="J577" s="6">
        <v>96652.68</v>
      </c>
      <c r="K577" t="s">
        <v>24</v>
      </c>
      <c r="L577" t="s">
        <v>29</v>
      </c>
      <c r="M577" t="s">
        <v>25</v>
      </c>
    </row>
    <row r="578" spans="1:13">
      <c r="A578" s="4" t="s">
        <v>730</v>
      </c>
      <c r="B578" t="s">
        <v>512</v>
      </c>
      <c r="C578" s="2">
        <v>45819</v>
      </c>
      <c r="D578" s="4" t="s">
        <v>66</v>
      </c>
      <c r="E578" s="4" t="s">
        <v>49</v>
      </c>
      <c r="F578" s="6">
        <v>12</v>
      </c>
      <c r="G578" s="6">
        <v>90000</v>
      </c>
      <c r="H578" s="6">
        <v>1080000</v>
      </c>
      <c r="I578" s="6">
        <v>52455.31</v>
      </c>
      <c r="J578" s="6">
        <v>450536.28</v>
      </c>
      <c r="K578" t="s">
        <v>80</v>
      </c>
      <c r="L578" t="s">
        <v>18</v>
      </c>
      <c r="M578" t="s">
        <v>67</v>
      </c>
    </row>
    <row r="579" spans="1:13">
      <c r="A579" s="4" t="s">
        <v>731</v>
      </c>
      <c r="B579" t="s">
        <v>161</v>
      </c>
      <c r="C579" s="2">
        <v>45953</v>
      </c>
      <c r="D579" s="4" t="s">
        <v>15</v>
      </c>
      <c r="E579" s="4" t="s">
        <v>16</v>
      </c>
      <c r="F579" s="6">
        <v>3</v>
      </c>
      <c r="G579" s="6">
        <v>10000</v>
      </c>
      <c r="H579" s="6">
        <v>30000</v>
      </c>
      <c r="I579" s="6">
        <v>7684.51</v>
      </c>
      <c r="J579" s="6">
        <v>6946.47</v>
      </c>
      <c r="K579" t="s">
        <v>17</v>
      </c>
      <c r="L579" t="s">
        <v>53</v>
      </c>
      <c r="M579" t="s">
        <v>25</v>
      </c>
    </row>
    <row r="580" spans="1:13">
      <c r="A580" s="4" t="s">
        <v>732</v>
      </c>
      <c r="B580" t="s">
        <v>40</v>
      </c>
      <c r="C580" s="2">
        <v>45730</v>
      </c>
      <c r="D580" s="4" t="s">
        <v>48</v>
      </c>
      <c r="E580" s="4" t="s">
        <v>49</v>
      </c>
      <c r="F580" s="6">
        <v>2</v>
      </c>
      <c r="G580" s="6">
        <v>100000</v>
      </c>
      <c r="H580" s="6">
        <v>200000</v>
      </c>
      <c r="I580" s="6">
        <v>58120.72</v>
      </c>
      <c r="J580" s="6">
        <v>83758.559999999998</v>
      </c>
      <c r="K580" t="s">
        <v>80</v>
      </c>
      <c r="L580" t="s">
        <v>18</v>
      </c>
      <c r="M580" t="s">
        <v>25</v>
      </c>
    </row>
    <row r="581" spans="1:13">
      <c r="A581" s="4" t="s">
        <v>733</v>
      </c>
      <c r="B581" t="s">
        <v>536</v>
      </c>
      <c r="C581" s="2">
        <v>45899</v>
      </c>
      <c r="D581" s="4" t="s">
        <v>66</v>
      </c>
      <c r="E581" s="4" t="s">
        <v>49</v>
      </c>
      <c r="F581" s="6">
        <v>4</v>
      </c>
      <c r="G581" s="6">
        <v>120000</v>
      </c>
      <c r="H581" s="6">
        <v>480000</v>
      </c>
      <c r="I581" s="6">
        <v>85476.43</v>
      </c>
      <c r="J581" s="6">
        <v>138094.28</v>
      </c>
      <c r="K581" t="s">
        <v>71</v>
      </c>
      <c r="L581" t="s">
        <v>18</v>
      </c>
      <c r="M581" t="s">
        <v>25</v>
      </c>
    </row>
    <row r="582" spans="1:13">
      <c r="A582" s="4" t="s">
        <v>734</v>
      </c>
      <c r="B582" t="s">
        <v>174</v>
      </c>
      <c r="C582" s="2">
        <v>45954</v>
      </c>
      <c r="D582" s="4" t="s">
        <v>28</v>
      </c>
      <c r="E582" s="4" t="s">
        <v>23</v>
      </c>
      <c r="F582" s="6">
        <v>1</v>
      </c>
      <c r="G582" s="6">
        <v>220000</v>
      </c>
      <c r="H582" s="6">
        <v>220000</v>
      </c>
      <c r="I582" s="6">
        <v>158002.07</v>
      </c>
      <c r="J582" s="6">
        <v>61997.93</v>
      </c>
      <c r="K582" t="s">
        <v>80</v>
      </c>
      <c r="L582" t="s">
        <v>18</v>
      </c>
      <c r="M582" t="s">
        <v>50</v>
      </c>
    </row>
    <row r="583" spans="1:13">
      <c r="A583" s="4" t="s">
        <v>735</v>
      </c>
      <c r="B583" t="s">
        <v>161</v>
      </c>
      <c r="C583" s="2">
        <v>45866</v>
      </c>
      <c r="D583" s="4" t="s">
        <v>52</v>
      </c>
      <c r="E583" s="4" t="s">
        <v>23</v>
      </c>
      <c r="F583" s="6">
        <v>1</v>
      </c>
      <c r="G583" s="6">
        <v>65000</v>
      </c>
      <c r="H583" s="6">
        <v>65000</v>
      </c>
      <c r="I583" s="6">
        <v>51216.54</v>
      </c>
      <c r="J583" s="6">
        <v>13783.46</v>
      </c>
      <c r="K583" t="s">
        <v>80</v>
      </c>
      <c r="L583" t="s">
        <v>29</v>
      </c>
      <c r="M583" t="s">
        <v>38</v>
      </c>
    </row>
    <row r="584" spans="1:13">
      <c r="A584" s="4" t="s">
        <v>736</v>
      </c>
      <c r="B584" t="s">
        <v>84</v>
      </c>
      <c r="C584" s="2">
        <v>46003</v>
      </c>
      <c r="D584" s="4" t="s">
        <v>52</v>
      </c>
      <c r="E584" s="4" t="s">
        <v>23</v>
      </c>
      <c r="F584" s="6">
        <v>1</v>
      </c>
      <c r="G584" s="6">
        <v>65000</v>
      </c>
      <c r="H584" s="6">
        <v>65000</v>
      </c>
      <c r="I584" s="6">
        <v>45768.52</v>
      </c>
      <c r="J584" s="6">
        <v>19231.48</v>
      </c>
      <c r="K584" t="s">
        <v>71</v>
      </c>
      <c r="L584" t="s">
        <v>53</v>
      </c>
      <c r="M584" t="s">
        <v>67</v>
      </c>
    </row>
    <row r="585" spans="1:13">
      <c r="A585" s="4" t="s">
        <v>737</v>
      </c>
      <c r="B585" t="s">
        <v>302</v>
      </c>
      <c r="C585" s="2">
        <v>45819</v>
      </c>
      <c r="D585" s="4" t="s">
        <v>45</v>
      </c>
      <c r="E585" s="4" t="s">
        <v>23</v>
      </c>
      <c r="F585" s="6">
        <v>7</v>
      </c>
      <c r="G585" s="6">
        <v>520000</v>
      </c>
      <c r="H585" s="6">
        <v>3640000</v>
      </c>
      <c r="I585" s="6">
        <v>309860.34000000003</v>
      </c>
      <c r="J585" s="6">
        <v>1470977.62</v>
      </c>
      <c r="K585" t="s">
        <v>24</v>
      </c>
      <c r="L585" t="s">
        <v>53</v>
      </c>
      <c r="M585" t="s">
        <v>38</v>
      </c>
    </row>
    <row r="586" spans="1:13">
      <c r="A586" s="4" t="s">
        <v>738</v>
      </c>
      <c r="B586" t="s">
        <v>47</v>
      </c>
      <c r="C586" s="2">
        <v>45949</v>
      </c>
      <c r="D586" s="4" t="s">
        <v>37</v>
      </c>
      <c r="E586" s="4" t="s">
        <v>16</v>
      </c>
      <c r="F586" s="6">
        <v>11</v>
      </c>
      <c r="G586" s="6">
        <v>12000</v>
      </c>
      <c r="H586" s="6">
        <v>132000</v>
      </c>
      <c r="I586" s="6">
        <v>8568.26</v>
      </c>
      <c r="J586" s="6">
        <v>37749.14</v>
      </c>
      <c r="K586" t="s">
        <v>80</v>
      </c>
      <c r="L586" t="s">
        <v>18</v>
      </c>
      <c r="M586" t="s">
        <v>67</v>
      </c>
    </row>
    <row r="587" spans="1:13">
      <c r="A587" s="4" t="s">
        <v>739</v>
      </c>
      <c r="B587" t="s">
        <v>380</v>
      </c>
      <c r="C587" s="2">
        <v>45933</v>
      </c>
      <c r="D587" s="4" t="s">
        <v>37</v>
      </c>
      <c r="E587" s="4" t="s">
        <v>16</v>
      </c>
      <c r="F587" s="6">
        <v>7</v>
      </c>
      <c r="G587" s="6">
        <v>25000</v>
      </c>
      <c r="H587" s="6">
        <v>175000</v>
      </c>
      <c r="I587" s="6">
        <v>17210.45</v>
      </c>
      <c r="J587" s="6">
        <v>54526.85</v>
      </c>
      <c r="K587" t="s">
        <v>80</v>
      </c>
      <c r="L587" t="s">
        <v>18</v>
      </c>
      <c r="M587" t="s">
        <v>19</v>
      </c>
    </row>
    <row r="588" spans="1:13">
      <c r="A588" s="4" t="s">
        <v>740</v>
      </c>
      <c r="B588" t="s">
        <v>234</v>
      </c>
      <c r="C588" s="2">
        <v>45890</v>
      </c>
      <c r="D588" s="4" t="s">
        <v>45</v>
      </c>
      <c r="E588" s="4" t="s">
        <v>23</v>
      </c>
      <c r="F588" s="6">
        <v>7</v>
      </c>
      <c r="G588" s="6">
        <v>520000</v>
      </c>
      <c r="H588" s="6">
        <v>3640000</v>
      </c>
      <c r="I588" s="6">
        <v>400836.55</v>
      </c>
      <c r="J588" s="6">
        <v>834144.15</v>
      </c>
      <c r="K588" t="s">
        <v>33</v>
      </c>
      <c r="L588" t="s">
        <v>53</v>
      </c>
      <c r="M588" t="s">
        <v>19</v>
      </c>
    </row>
    <row r="589" spans="1:13">
      <c r="A589" s="4" t="s">
        <v>741</v>
      </c>
      <c r="B589" t="s">
        <v>231</v>
      </c>
      <c r="C589" s="2">
        <v>45676</v>
      </c>
      <c r="D589" s="4" t="s">
        <v>28</v>
      </c>
      <c r="E589" s="4" t="s">
        <v>23</v>
      </c>
      <c r="F589" s="6">
        <v>9</v>
      </c>
      <c r="G589" s="6">
        <v>220000</v>
      </c>
      <c r="H589" s="6">
        <v>1980000</v>
      </c>
      <c r="I589" s="6">
        <v>148191.66</v>
      </c>
      <c r="J589" s="6">
        <v>646275.06000000006</v>
      </c>
      <c r="K589" t="s">
        <v>71</v>
      </c>
      <c r="L589" t="s">
        <v>53</v>
      </c>
      <c r="M589" t="s">
        <v>25</v>
      </c>
    </row>
    <row r="590" spans="1:13">
      <c r="A590" s="4" t="s">
        <v>742</v>
      </c>
      <c r="B590" t="s">
        <v>103</v>
      </c>
      <c r="C590" s="2">
        <v>45705</v>
      </c>
      <c r="D590" s="4" t="s">
        <v>48</v>
      </c>
      <c r="E590" s="4" t="s">
        <v>49</v>
      </c>
      <c r="F590" s="6">
        <v>6</v>
      </c>
      <c r="G590" s="6">
        <v>200000</v>
      </c>
      <c r="H590" s="6">
        <v>1200000</v>
      </c>
      <c r="I590" s="6">
        <v>163293.25</v>
      </c>
      <c r="J590" s="6">
        <v>220240.5</v>
      </c>
      <c r="K590" t="s">
        <v>17</v>
      </c>
      <c r="L590" t="s">
        <v>29</v>
      </c>
      <c r="M590" t="s">
        <v>38</v>
      </c>
    </row>
    <row r="591" spans="1:13">
      <c r="A591" s="4" t="s">
        <v>743</v>
      </c>
      <c r="B591" t="s">
        <v>219</v>
      </c>
      <c r="C591" s="2">
        <v>45727</v>
      </c>
      <c r="D591" s="4" t="s">
        <v>48</v>
      </c>
      <c r="E591" s="4" t="s">
        <v>49</v>
      </c>
      <c r="F591" s="6">
        <v>5</v>
      </c>
      <c r="G591" s="6">
        <v>100000</v>
      </c>
      <c r="H591" s="6">
        <v>500000</v>
      </c>
      <c r="I591" s="6">
        <v>65208.02</v>
      </c>
      <c r="J591" s="6">
        <v>173959.9</v>
      </c>
      <c r="K591" t="s">
        <v>71</v>
      </c>
      <c r="L591" t="s">
        <v>29</v>
      </c>
      <c r="M591" t="s">
        <v>67</v>
      </c>
    </row>
    <row r="592" spans="1:13">
      <c r="A592" s="4" t="s">
        <v>744</v>
      </c>
      <c r="B592" t="s">
        <v>27</v>
      </c>
      <c r="C592" s="2">
        <v>45961</v>
      </c>
      <c r="D592" s="4" t="s">
        <v>45</v>
      </c>
      <c r="E592" s="4" t="s">
        <v>23</v>
      </c>
      <c r="F592" s="6">
        <v>3</v>
      </c>
      <c r="G592" s="6">
        <v>520000</v>
      </c>
      <c r="H592" s="6">
        <v>1560000</v>
      </c>
      <c r="I592" s="6">
        <v>309490.09000000003</v>
      </c>
      <c r="J592" s="6">
        <v>631529.73</v>
      </c>
      <c r="K592" t="s">
        <v>71</v>
      </c>
      <c r="L592" t="s">
        <v>29</v>
      </c>
      <c r="M592" t="s">
        <v>50</v>
      </c>
    </row>
    <row r="593" spans="1:13">
      <c r="A593" s="4" t="s">
        <v>745</v>
      </c>
      <c r="B593" t="s">
        <v>294</v>
      </c>
      <c r="C593" s="2">
        <v>46017</v>
      </c>
      <c r="D593" s="4" t="s">
        <v>106</v>
      </c>
      <c r="E593" s="4" t="s">
        <v>23</v>
      </c>
      <c r="F593" s="6">
        <v>5</v>
      </c>
      <c r="G593" s="6">
        <v>150000</v>
      </c>
      <c r="H593" s="6">
        <v>750000</v>
      </c>
      <c r="I593" s="6">
        <v>99636.84</v>
      </c>
      <c r="J593" s="6">
        <v>251815.8</v>
      </c>
      <c r="K593" t="s">
        <v>71</v>
      </c>
      <c r="L593" t="s">
        <v>18</v>
      </c>
      <c r="M593" t="s">
        <v>38</v>
      </c>
    </row>
    <row r="594" spans="1:13">
      <c r="A594" s="4" t="s">
        <v>746</v>
      </c>
      <c r="B594" t="s">
        <v>117</v>
      </c>
      <c r="C594" s="2">
        <v>45977</v>
      </c>
      <c r="D594" s="4" t="s">
        <v>37</v>
      </c>
      <c r="E594" s="4" t="s">
        <v>16</v>
      </c>
      <c r="F594" s="6">
        <v>12</v>
      </c>
      <c r="G594" s="6">
        <v>12000</v>
      </c>
      <c r="H594" s="6">
        <v>144000</v>
      </c>
      <c r="I594" s="6">
        <v>9027</v>
      </c>
      <c r="J594" s="6">
        <v>35676</v>
      </c>
      <c r="K594" t="s">
        <v>17</v>
      </c>
      <c r="L594" t="s">
        <v>18</v>
      </c>
      <c r="M594" t="s">
        <v>19</v>
      </c>
    </row>
    <row r="595" spans="1:13">
      <c r="A595" s="4" t="s">
        <v>747</v>
      </c>
      <c r="B595" t="s">
        <v>335</v>
      </c>
      <c r="C595" s="2">
        <v>45798</v>
      </c>
      <c r="D595" s="4" t="s">
        <v>37</v>
      </c>
      <c r="E595" s="4" t="s">
        <v>16</v>
      </c>
      <c r="F595" s="6">
        <v>6</v>
      </c>
      <c r="G595" s="6">
        <v>18000</v>
      </c>
      <c r="H595" s="6">
        <v>108000</v>
      </c>
      <c r="I595" s="6">
        <v>12622.15</v>
      </c>
      <c r="J595" s="6">
        <v>32267.1</v>
      </c>
      <c r="K595" t="s">
        <v>17</v>
      </c>
      <c r="L595" t="s">
        <v>18</v>
      </c>
      <c r="M595" t="s">
        <v>67</v>
      </c>
    </row>
    <row r="596" spans="1:13">
      <c r="A596" s="4" t="s">
        <v>748</v>
      </c>
      <c r="B596" t="s">
        <v>415</v>
      </c>
      <c r="C596" s="2">
        <v>45811</v>
      </c>
      <c r="D596" s="4" t="s">
        <v>63</v>
      </c>
      <c r="E596" s="4" t="s">
        <v>16</v>
      </c>
      <c r="F596" s="6">
        <v>3</v>
      </c>
      <c r="G596" s="6">
        <v>5000</v>
      </c>
      <c r="H596" s="6">
        <v>15000</v>
      </c>
      <c r="I596" s="6">
        <v>3828.15</v>
      </c>
      <c r="J596" s="6">
        <v>3515.55</v>
      </c>
      <c r="K596" t="s">
        <v>71</v>
      </c>
      <c r="L596" t="s">
        <v>18</v>
      </c>
      <c r="M596" t="s">
        <v>38</v>
      </c>
    </row>
    <row r="597" spans="1:13">
      <c r="A597" s="4" t="s">
        <v>749</v>
      </c>
      <c r="B597" t="s">
        <v>69</v>
      </c>
      <c r="C597" s="2">
        <v>45891</v>
      </c>
      <c r="D597" s="4" t="s">
        <v>106</v>
      </c>
      <c r="E597" s="4" t="s">
        <v>23</v>
      </c>
      <c r="F597" s="6">
        <v>3</v>
      </c>
      <c r="G597" s="6">
        <v>200000</v>
      </c>
      <c r="H597" s="6">
        <v>600000</v>
      </c>
      <c r="I597" s="6">
        <v>160358.32</v>
      </c>
      <c r="J597" s="6">
        <v>118925.04</v>
      </c>
      <c r="K597" t="s">
        <v>33</v>
      </c>
      <c r="L597" t="s">
        <v>29</v>
      </c>
      <c r="M597" t="s">
        <v>50</v>
      </c>
    </row>
    <row r="598" spans="1:13">
      <c r="A598" s="4" t="s">
        <v>750</v>
      </c>
      <c r="B598" t="s">
        <v>146</v>
      </c>
      <c r="C598" s="2">
        <v>45906</v>
      </c>
      <c r="D598" s="4" t="s">
        <v>56</v>
      </c>
      <c r="E598" s="4" t="s">
        <v>23</v>
      </c>
      <c r="F598" s="6">
        <v>2</v>
      </c>
      <c r="G598" s="6">
        <v>30000</v>
      </c>
      <c r="H598" s="6">
        <v>60000</v>
      </c>
      <c r="I598" s="6">
        <v>24406.66</v>
      </c>
      <c r="J598" s="6">
        <v>11186.68</v>
      </c>
      <c r="K598" t="s">
        <v>71</v>
      </c>
      <c r="L598" t="s">
        <v>18</v>
      </c>
      <c r="M598" t="s">
        <v>50</v>
      </c>
    </row>
    <row r="599" spans="1:13">
      <c r="A599" s="4" t="s">
        <v>751</v>
      </c>
      <c r="B599" t="s">
        <v>96</v>
      </c>
      <c r="C599" s="2">
        <v>45737</v>
      </c>
      <c r="D599" s="4" t="s">
        <v>66</v>
      </c>
      <c r="E599" s="4" t="s">
        <v>49</v>
      </c>
      <c r="F599" s="6">
        <v>4</v>
      </c>
      <c r="G599" s="6">
        <v>120000</v>
      </c>
      <c r="H599" s="6">
        <v>480000</v>
      </c>
      <c r="I599" s="6">
        <v>75869.789999999994</v>
      </c>
      <c r="J599" s="6">
        <v>176520.84</v>
      </c>
      <c r="K599" t="s">
        <v>33</v>
      </c>
      <c r="L599" t="s">
        <v>18</v>
      </c>
      <c r="M599" t="s">
        <v>25</v>
      </c>
    </row>
    <row r="600" spans="1:13">
      <c r="A600" s="4" t="s">
        <v>752</v>
      </c>
      <c r="B600" t="s">
        <v>27</v>
      </c>
      <c r="C600" s="2">
        <v>45786</v>
      </c>
      <c r="D600" s="4" t="s">
        <v>28</v>
      </c>
      <c r="E600" s="4" t="s">
        <v>23</v>
      </c>
      <c r="F600" s="6">
        <v>4</v>
      </c>
      <c r="G600" s="6">
        <v>300000</v>
      </c>
      <c r="H600" s="6">
        <v>1200000</v>
      </c>
      <c r="I600" s="6">
        <v>242857.32</v>
      </c>
      <c r="J600" s="6">
        <v>228570.72</v>
      </c>
      <c r="K600" t="s">
        <v>71</v>
      </c>
      <c r="L600" t="s">
        <v>18</v>
      </c>
      <c r="M600" t="s">
        <v>19</v>
      </c>
    </row>
    <row r="601" spans="1:13">
      <c r="A601" s="4" t="s">
        <v>753</v>
      </c>
      <c r="B601" t="s">
        <v>94</v>
      </c>
      <c r="C601" s="2">
        <v>45706</v>
      </c>
      <c r="D601" s="4" t="s">
        <v>66</v>
      </c>
      <c r="E601" s="4" t="s">
        <v>49</v>
      </c>
      <c r="F601" s="6">
        <v>11</v>
      </c>
      <c r="G601" s="6">
        <v>120000</v>
      </c>
      <c r="H601" s="6">
        <v>1320000</v>
      </c>
      <c r="I601" s="6">
        <v>86273.31</v>
      </c>
      <c r="J601" s="6">
        <v>370993.59</v>
      </c>
      <c r="K601" t="s">
        <v>17</v>
      </c>
      <c r="L601" t="s">
        <v>53</v>
      </c>
      <c r="M601" t="s">
        <v>30</v>
      </c>
    </row>
    <row r="602" spans="1:13">
      <c r="A602" s="4" t="s">
        <v>754</v>
      </c>
      <c r="B602" t="s">
        <v>125</v>
      </c>
      <c r="C602" s="2">
        <v>45729</v>
      </c>
      <c r="D602" s="4" t="s">
        <v>28</v>
      </c>
      <c r="E602" s="4" t="s">
        <v>23</v>
      </c>
      <c r="F602" s="6">
        <v>1</v>
      </c>
      <c r="G602" s="6">
        <v>180000</v>
      </c>
      <c r="H602" s="6">
        <v>180000</v>
      </c>
      <c r="I602" s="6">
        <v>117548.55</v>
      </c>
      <c r="J602" s="6">
        <v>62451.45</v>
      </c>
      <c r="K602" t="s">
        <v>17</v>
      </c>
      <c r="L602" t="s">
        <v>53</v>
      </c>
      <c r="M602" t="s">
        <v>50</v>
      </c>
    </row>
    <row r="603" spans="1:13">
      <c r="A603" s="4" t="s">
        <v>755</v>
      </c>
      <c r="B603" t="s">
        <v>121</v>
      </c>
      <c r="C603" s="2">
        <v>45673</v>
      </c>
      <c r="D603" s="4" t="s">
        <v>15</v>
      </c>
      <c r="E603" s="4" t="s">
        <v>16</v>
      </c>
      <c r="F603" s="6">
        <v>7</v>
      </c>
      <c r="G603" s="6">
        <v>10000</v>
      </c>
      <c r="H603" s="6">
        <v>70000</v>
      </c>
      <c r="I603" s="6">
        <v>7134.29</v>
      </c>
      <c r="J603" s="6">
        <v>20059.97</v>
      </c>
      <c r="K603" t="s">
        <v>71</v>
      </c>
      <c r="L603" t="s">
        <v>53</v>
      </c>
      <c r="M603" t="s">
        <v>30</v>
      </c>
    </row>
    <row r="604" spans="1:13">
      <c r="A604" s="4" t="s">
        <v>756</v>
      </c>
      <c r="B604" t="s">
        <v>117</v>
      </c>
      <c r="C604" s="2">
        <v>45941</v>
      </c>
      <c r="D604" s="4" t="s">
        <v>63</v>
      </c>
      <c r="E604" s="4" t="s">
        <v>16</v>
      </c>
      <c r="F604" s="6">
        <v>7</v>
      </c>
      <c r="G604" s="6">
        <v>5000</v>
      </c>
      <c r="H604" s="6">
        <v>35000</v>
      </c>
      <c r="I604" s="6">
        <v>3122.89</v>
      </c>
      <c r="J604" s="6">
        <v>13139.77</v>
      </c>
      <c r="K604" t="s">
        <v>80</v>
      </c>
      <c r="L604" t="s">
        <v>53</v>
      </c>
      <c r="M604" t="s">
        <v>34</v>
      </c>
    </row>
    <row r="605" spans="1:13">
      <c r="A605" s="4" t="s">
        <v>757</v>
      </c>
      <c r="B605" t="s">
        <v>292</v>
      </c>
      <c r="C605" s="2">
        <v>45854</v>
      </c>
      <c r="D605" s="4" t="s">
        <v>48</v>
      </c>
      <c r="E605" s="4" t="s">
        <v>49</v>
      </c>
      <c r="F605" s="6">
        <v>6</v>
      </c>
      <c r="G605" s="6">
        <v>140000</v>
      </c>
      <c r="H605" s="6">
        <v>840000</v>
      </c>
      <c r="I605" s="6">
        <v>86383.38</v>
      </c>
      <c r="J605" s="6">
        <v>321699.71999999997</v>
      </c>
      <c r="K605" t="s">
        <v>71</v>
      </c>
      <c r="L605" t="s">
        <v>53</v>
      </c>
      <c r="M605" t="s">
        <v>67</v>
      </c>
    </row>
    <row r="606" spans="1:13">
      <c r="A606" s="4" t="s">
        <v>758</v>
      </c>
      <c r="B606" t="s">
        <v>180</v>
      </c>
      <c r="C606" s="2">
        <v>45978</v>
      </c>
      <c r="D606" s="4" t="s">
        <v>66</v>
      </c>
      <c r="E606" s="4" t="s">
        <v>49</v>
      </c>
      <c r="F606" s="6">
        <v>8</v>
      </c>
      <c r="G606" s="6">
        <v>90000</v>
      </c>
      <c r="H606" s="6">
        <v>720000</v>
      </c>
      <c r="I606" s="6">
        <v>56596.86</v>
      </c>
      <c r="J606" s="6">
        <v>267225.12</v>
      </c>
      <c r="K606" t="s">
        <v>71</v>
      </c>
      <c r="L606" t="s">
        <v>29</v>
      </c>
      <c r="M606" t="s">
        <v>30</v>
      </c>
    </row>
    <row r="607" spans="1:13">
      <c r="A607" s="4" t="s">
        <v>759</v>
      </c>
      <c r="B607" t="s">
        <v>27</v>
      </c>
      <c r="C607" s="2">
        <v>45868</v>
      </c>
      <c r="D607" s="4" t="s">
        <v>66</v>
      </c>
      <c r="E607" s="4" t="s">
        <v>49</v>
      </c>
      <c r="F607" s="6">
        <v>9</v>
      </c>
      <c r="G607" s="6">
        <v>120000</v>
      </c>
      <c r="H607" s="6">
        <v>1080000</v>
      </c>
      <c r="I607" s="6">
        <v>71356.2</v>
      </c>
      <c r="J607" s="6">
        <v>437794.2</v>
      </c>
      <c r="K607" t="s">
        <v>80</v>
      </c>
      <c r="L607" t="s">
        <v>53</v>
      </c>
      <c r="M607" t="s">
        <v>30</v>
      </c>
    </row>
    <row r="608" spans="1:13">
      <c r="A608" s="4" t="s">
        <v>760</v>
      </c>
      <c r="B608" t="s">
        <v>316</v>
      </c>
      <c r="C608" s="2">
        <v>45953</v>
      </c>
      <c r="D608" s="4" t="s">
        <v>37</v>
      </c>
      <c r="E608" s="4" t="s">
        <v>16</v>
      </c>
      <c r="F608" s="6">
        <v>3</v>
      </c>
      <c r="G608" s="6">
        <v>12000</v>
      </c>
      <c r="H608" s="6">
        <v>36000</v>
      </c>
      <c r="I608" s="6">
        <v>8474.1200000000008</v>
      </c>
      <c r="J608" s="6">
        <v>10577.64</v>
      </c>
      <c r="K608" t="s">
        <v>80</v>
      </c>
      <c r="L608" t="s">
        <v>18</v>
      </c>
      <c r="M608" t="s">
        <v>67</v>
      </c>
    </row>
    <row r="609" spans="1:13">
      <c r="A609" s="4" t="s">
        <v>761</v>
      </c>
      <c r="B609" t="s">
        <v>151</v>
      </c>
      <c r="C609" s="2">
        <v>45675</v>
      </c>
      <c r="D609" s="4" t="s">
        <v>56</v>
      </c>
      <c r="E609" s="4" t="s">
        <v>23</v>
      </c>
      <c r="F609" s="6">
        <v>9</v>
      </c>
      <c r="G609" s="6">
        <v>70000</v>
      </c>
      <c r="H609" s="6">
        <v>630000</v>
      </c>
      <c r="I609" s="6">
        <v>55727.65</v>
      </c>
      <c r="J609" s="6">
        <v>128451.15</v>
      </c>
      <c r="K609" t="s">
        <v>33</v>
      </c>
      <c r="L609" t="s">
        <v>53</v>
      </c>
      <c r="M609" t="s">
        <v>67</v>
      </c>
    </row>
    <row r="610" spans="1:13">
      <c r="A610" s="4" t="s">
        <v>762</v>
      </c>
      <c r="B610" t="s">
        <v>219</v>
      </c>
      <c r="C610" s="2">
        <v>45926</v>
      </c>
      <c r="D610" s="4" t="s">
        <v>28</v>
      </c>
      <c r="E610" s="4" t="s">
        <v>23</v>
      </c>
      <c r="F610" s="6">
        <v>2</v>
      </c>
      <c r="G610" s="6">
        <v>300000</v>
      </c>
      <c r="H610" s="6">
        <v>600000</v>
      </c>
      <c r="I610" s="6">
        <v>206107.84</v>
      </c>
      <c r="J610" s="6">
        <v>187784.32000000001</v>
      </c>
      <c r="K610" t="s">
        <v>24</v>
      </c>
      <c r="L610" t="s">
        <v>29</v>
      </c>
      <c r="M610" t="s">
        <v>50</v>
      </c>
    </row>
    <row r="611" spans="1:13">
      <c r="A611" s="4" t="s">
        <v>763</v>
      </c>
      <c r="B611" t="s">
        <v>73</v>
      </c>
      <c r="C611" s="2">
        <v>45905</v>
      </c>
      <c r="D611" s="4" t="s">
        <v>56</v>
      </c>
      <c r="E611" s="4" t="s">
        <v>23</v>
      </c>
      <c r="F611" s="6">
        <v>5</v>
      </c>
      <c r="G611" s="6">
        <v>70000</v>
      </c>
      <c r="H611" s="6">
        <v>350000</v>
      </c>
      <c r="I611" s="6">
        <v>50505.06</v>
      </c>
      <c r="J611" s="6">
        <v>97474.7</v>
      </c>
      <c r="K611" t="s">
        <v>33</v>
      </c>
      <c r="L611" t="s">
        <v>18</v>
      </c>
      <c r="M611" t="s">
        <v>19</v>
      </c>
    </row>
    <row r="612" spans="1:13">
      <c r="A612" s="4" t="s">
        <v>764</v>
      </c>
      <c r="B612" t="s">
        <v>627</v>
      </c>
      <c r="C612" s="2">
        <v>45974</v>
      </c>
      <c r="D612" s="4" t="s">
        <v>37</v>
      </c>
      <c r="E612" s="4" t="s">
        <v>16</v>
      </c>
      <c r="F612" s="6">
        <v>8</v>
      </c>
      <c r="G612" s="6">
        <v>12000</v>
      </c>
      <c r="H612" s="6">
        <v>96000</v>
      </c>
      <c r="I612" s="6">
        <v>8024.56</v>
      </c>
      <c r="J612" s="6">
        <v>31803.52</v>
      </c>
      <c r="K612" t="s">
        <v>80</v>
      </c>
      <c r="L612" t="s">
        <v>53</v>
      </c>
      <c r="M612" t="s">
        <v>67</v>
      </c>
    </row>
    <row r="613" spans="1:13">
      <c r="A613" s="4" t="s">
        <v>765</v>
      </c>
      <c r="B613" t="s">
        <v>200</v>
      </c>
      <c r="C613" s="2">
        <v>45759</v>
      </c>
      <c r="D613" s="4" t="s">
        <v>37</v>
      </c>
      <c r="E613" s="4" t="s">
        <v>16</v>
      </c>
      <c r="F613" s="6">
        <v>5</v>
      </c>
      <c r="G613" s="6">
        <v>12000</v>
      </c>
      <c r="H613" s="6">
        <v>60000</v>
      </c>
      <c r="I613" s="6">
        <v>7590.56</v>
      </c>
      <c r="J613" s="6">
        <v>22047.200000000001</v>
      </c>
      <c r="K613" t="s">
        <v>71</v>
      </c>
      <c r="L613" t="s">
        <v>29</v>
      </c>
      <c r="M613" t="s">
        <v>34</v>
      </c>
    </row>
    <row r="614" spans="1:13">
      <c r="A614" s="4" t="s">
        <v>766</v>
      </c>
      <c r="B614" t="s">
        <v>180</v>
      </c>
      <c r="C614" s="2">
        <v>45977</v>
      </c>
      <c r="D614" s="4" t="s">
        <v>106</v>
      </c>
      <c r="E614" s="4" t="s">
        <v>23</v>
      </c>
      <c r="F614" s="6">
        <v>9</v>
      </c>
      <c r="G614" s="6">
        <v>150000</v>
      </c>
      <c r="H614" s="6">
        <v>1350000</v>
      </c>
      <c r="I614" s="6">
        <v>111176.17</v>
      </c>
      <c r="J614" s="6">
        <v>349414.47</v>
      </c>
      <c r="K614" t="s">
        <v>71</v>
      </c>
      <c r="L614" t="s">
        <v>53</v>
      </c>
      <c r="M614" t="s">
        <v>38</v>
      </c>
    </row>
    <row r="615" spans="1:13">
      <c r="A615" s="4" t="s">
        <v>767</v>
      </c>
      <c r="B615" t="s">
        <v>125</v>
      </c>
      <c r="C615" s="2">
        <v>45734</v>
      </c>
      <c r="D615" s="4" t="s">
        <v>15</v>
      </c>
      <c r="E615" s="4" t="s">
        <v>16</v>
      </c>
      <c r="F615" s="6">
        <v>8</v>
      </c>
      <c r="G615" s="6">
        <v>8000</v>
      </c>
      <c r="H615" s="6">
        <v>64000</v>
      </c>
      <c r="I615" s="6">
        <v>4979.09</v>
      </c>
      <c r="J615" s="6">
        <v>24167.279999999999</v>
      </c>
      <c r="K615" t="s">
        <v>71</v>
      </c>
      <c r="L615" t="s">
        <v>18</v>
      </c>
      <c r="M615" t="s">
        <v>25</v>
      </c>
    </row>
    <row r="616" spans="1:13">
      <c r="A616" s="4" t="s">
        <v>768</v>
      </c>
      <c r="B616" t="s">
        <v>365</v>
      </c>
      <c r="C616" s="2">
        <v>45771</v>
      </c>
      <c r="D616" s="4" t="s">
        <v>22</v>
      </c>
      <c r="E616" s="4" t="s">
        <v>23</v>
      </c>
      <c r="F616" s="6">
        <v>11</v>
      </c>
      <c r="G616" s="6">
        <v>150000</v>
      </c>
      <c r="H616" s="6">
        <v>1650000</v>
      </c>
      <c r="I616" s="6">
        <v>109874.54</v>
      </c>
      <c r="J616" s="6">
        <v>441380.06</v>
      </c>
      <c r="K616" t="s">
        <v>24</v>
      </c>
      <c r="L616" t="s">
        <v>18</v>
      </c>
      <c r="M616" t="s">
        <v>30</v>
      </c>
    </row>
    <row r="617" spans="1:13">
      <c r="A617" s="4" t="s">
        <v>769</v>
      </c>
      <c r="B617" t="s">
        <v>234</v>
      </c>
      <c r="C617" s="2">
        <v>45943</v>
      </c>
      <c r="D617" s="4" t="s">
        <v>28</v>
      </c>
      <c r="E617" s="4" t="s">
        <v>23</v>
      </c>
      <c r="F617" s="6">
        <v>7</v>
      </c>
      <c r="G617" s="6">
        <v>300000</v>
      </c>
      <c r="H617" s="6">
        <v>2100000</v>
      </c>
      <c r="I617" s="6">
        <v>216921.13</v>
      </c>
      <c r="J617" s="6">
        <v>581552.09</v>
      </c>
      <c r="K617" t="s">
        <v>71</v>
      </c>
      <c r="L617" t="s">
        <v>18</v>
      </c>
      <c r="M617" t="s">
        <v>30</v>
      </c>
    </row>
    <row r="618" spans="1:13">
      <c r="A618" s="4" t="s">
        <v>770</v>
      </c>
      <c r="B618" t="s">
        <v>325</v>
      </c>
      <c r="C618" s="2">
        <v>45925</v>
      </c>
      <c r="D618" s="4" t="s">
        <v>48</v>
      </c>
      <c r="E618" s="4" t="s">
        <v>49</v>
      </c>
      <c r="F618" s="6">
        <v>5</v>
      </c>
      <c r="G618" s="6">
        <v>200000</v>
      </c>
      <c r="H618" s="6">
        <v>1000000</v>
      </c>
      <c r="I618" s="6">
        <v>139185.26</v>
      </c>
      <c r="J618" s="6">
        <v>304073.7</v>
      </c>
      <c r="K618" t="s">
        <v>71</v>
      </c>
      <c r="L618" t="s">
        <v>18</v>
      </c>
      <c r="M618" t="s">
        <v>38</v>
      </c>
    </row>
    <row r="619" spans="1:13">
      <c r="A619" s="4" t="s">
        <v>771</v>
      </c>
      <c r="B619" t="s">
        <v>21</v>
      </c>
      <c r="C619" s="2">
        <v>45707</v>
      </c>
      <c r="D619" s="4" t="s">
        <v>66</v>
      </c>
      <c r="E619" s="4" t="s">
        <v>49</v>
      </c>
      <c r="F619" s="6">
        <v>8</v>
      </c>
      <c r="G619" s="6">
        <v>175000</v>
      </c>
      <c r="H619" s="6">
        <v>1400000</v>
      </c>
      <c r="I619" s="6">
        <v>130764.06</v>
      </c>
      <c r="J619" s="6">
        <v>353887.52</v>
      </c>
      <c r="K619" t="s">
        <v>17</v>
      </c>
      <c r="L619" t="s">
        <v>29</v>
      </c>
      <c r="M619" t="s">
        <v>67</v>
      </c>
    </row>
    <row r="620" spans="1:13">
      <c r="A620" s="4" t="s">
        <v>772</v>
      </c>
      <c r="B620" t="s">
        <v>343</v>
      </c>
      <c r="C620" s="2">
        <v>45736</v>
      </c>
      <c r="D620" s="4" t="s">
        <v>52</v>
      </c>
      <c r="E620" s="4" t="s">
        <v>23</v>
      </c>
      <c r="F620" s="6">
        <v>12</v>
      </c>
      <c r="G620" s="6">
        <v>85000</v>
      </c>
      <c r="H620" s="6">
        <v>1020000</v>
      </c>
      <c r="I620" s="6">
        <v>65445.91</v>
      </c>
      <c r="J620" s="6">
        <v>234649.08</v>
      </c>
      <c r="K620" t="s">
        <v>80</v>
      </c>
      <c r="L620" t="s">
        <v>53</v>
      </c>
      <c r="M620" t="s">
        <v>19</v>
      </c>
    </row>
    <row r="621" spans="1:13">
      <c r="A621" s="4" t="s">
        <v>773</v>
      </c>
      <c r="B621" t="s">
        <v>245</v>
      </c>
      <c r="C621" s="2">
        <v>45831</v>
      </c>
      <c r="D621" s="4" t="s">
        <v>70</v>
      </c>
      <c r="E621" s="4" t="s">
        <v>16</v>
      </c>
      <c r="F621" s="6">
        <v>11</v>
      </c>
      <c r="G621" s="6">
        <v>35000</v>
      </c>
      <c r="H621" s="6">
        <v>385000</v>
      </c>
      <c r="I621" s="6">
        <v>20739.87</v>
      </c>
      <c r="J621" s="6">
        <v>156861.43</v>
      </c>
      <c r="K621" t="s">
        <v>24</v>
      </c>
      <c r="L621" t="s">
        <v>53</v>
      </c>
      <c r="M621" t="s">
        <v>19</v>
      </c>
    </row>
    <row r="622" spans="1:13">
      <c r="A622" s="4" t="s">
        <v>774</v>
      </c>
      <c r="B622" t="s">
        <v>261</v>
      </c>
      <c r="C622" s="2">
        <v>45941</v>
      </c>
      <c r="D622" s="4" t="s">
        <v>48</v>
      </c>
      <c r="E622" s="4" t="s">
        <v>49</v>
      </c>
      <c r="F622" s="6">
        <v>1</v>
      </c>
      <c r="G622" s="6">
        <v>140000</v>
      </c>
      <c r="H622" s="6">
        <v>140000</v>
      </c>
      <c r="I622" s="6">
        <v>110543.94</v>
      </c>
      <c r="J622" s="6">
        <v>29456.06</v>
      </c>
      <c r="K622" t="s">
        <v>80</v>
      </c>
      <c r="L622" t="s">
        <v>29</v>
      </c>
      <c r="M622" t="s">
        <v>19</v>
      </c>
    </row>
    <row r="623" spans="1:13">
      <c r="A623" s="4" t="s">
        <v>775</v>
      </c>
      <c r="B623" t="s">
        <v>215</v>
      </c>
      <c r="C623" s="2">
        <v>45884</v>
      </c>
      <c r="D623" s="4" t="s">
        <v>45</v>
      </c>
      <c r="E623" s="4" t="s">
        <v>23</v>
      </c>
      <c r="F623" s="6">
        <v>3</v>
      </c>
      <c r="G623" s="6">
        <v>450000</v>
      </c>
      <c r="H623" s="6">
        <v>1350000</v>
      </c>
      <c r="I623" s="6">
        <v>338503.58</v>
      </c>
      <c r="J623" s="6">
        <v>334489.26</v>
      </c>
      <c r="K623" t="s">
        <v>17</v>
      </c>
      <c r="L623" t="s">
        <v>53</v>
      </c>
      <c r="M623" t="s">
        <v>19</v>
      </c>
    </row>
    <row r="624" spans="1:13">
      <c r="A624" s="4" t="s">
        <v>776</v>
      </c>
      <c r="B624" t="s">
        <v>113</v>
      </c>
      <c r="C624" s="2">
        <v>45751</v>
      </c>
      <c r="D624" s="4" t="s">
        <v>28</v>
      </c>
      <c r="E624" s="4" t="s">
        <v>23</v>
      </c>
      <c r="F624" s="6">
        <v>3</v>
      </c>
      <c r="G624" s="6">
        <v>220000</v>
      </c>
      <c r="H624" s="6">
        <v>660000</v>
      </c>
      <c r="I624" s="6">
        <v>133426.82</v>
      </c>
      <c r="J624" s="6">
        <v>259719.54</v>
      </c>
      <c r="K624" t="s">
        <v>33</v>
      </c>
      <c r="L624" t="s">
        <v>29</v>
      </c>
      <c r="M624" t="s">
        <v>19</v>
      </c>
    </row>
    <row r="625" spans="1:13">
      <c r="A625" s="4" t="s">
        <v>777</v>
      </c>
      <c r="B625" t="s">
        <v>115</v>
      </c>
      <c r="C625" s="2">
        <v>45968</v>
      </c>
      <c r="D625" s="4" t="s">
        <v>106</v>
      </c>
      <c r="E625" s="4" t="s">
        <v>23</v>
      </c>
      <c r="F625" s="6">
        <v>10</v>
      </c>
      <c r="G625" s="6">
        <v>200000</v>
      </c>
      <c r="H625" s="6">
        <v>2000000</v>
      </c>
      <c r="I625" s="6">
        <v>127083.74</v>
      </c>
      <c r="J625" s="6">
        <v>729162.6</v>
      </c>
      <c r="K625" t="s">
        <v>71</v>
      </c>
      <c r="L625" t="s">
        <v>18</v>
      </c>
      <c r="M625" t="s">
        <v>67</v>
      </c>
    </row>
    <row r="626" spans="1:13">
      <c r="A626" s="4" t="s">
        <v>778</v>
      </c>
      <c r="B626" t="s">
        <v>450</v>
      </c>
      <c r="C626" s="2">
        <v>45795</v>
      </c>
      <c r="D626" s="4" t="s">
        <v>66</v>
      </c>
      <c r="E626" s="4" t="s">
        <v>49</v>
      </c>
      <c r="F626" s="6">
        <v>6</v>
      </c>
      <c r="G626" s="6">
        <v>90000</v>
      </c>
      <c r="H626" s="6">
        <v>540000</v>
      </c>
      <c r="I626" s="6">
        <v>59497.91</v>
      </c>
      <c r="J626" s="6">
        <v>183012.54</v>
      </c>
      <c r="K626" t="s">
        <v>24</v>
      </c>
      <c r="L626" t="s">
        <v>29</v>
      </c>
      <c r="M626" t="s">
        <v>34</v>
      </c>
    </row>
    <row r="627" spans="1:13">
      <c r="A627" s="4" t="s">
        <v>779</v>
      </c>
      <c r="B627" t="s">
        <v>100</v>
      </c>
      <c r="C627" s="2">
        <v>45987</v>
      </c>
      <c r="D627" s="4" t="s">
        <v>37</v>
      </c>
      <c r="E627" s="4" t="s">
        <v>16</v>
      </c>
      <c r="F627" s="6">
        <v>9</v>
      </c>
      <c r="G627" s="6">
        <v>12000</v>
      </c>
      <c r="H627" s="6">
        <v>108000</v>
      </c>
      <c r="I627" s="6">
        <v>8776.57</v>
      </c>
      <c r="J627" s="6">
        <v>29010.87</v>
      </c>
      <c r="K627" t="s">
        <v>17</v>
      </c>
      <c r="L627" t="s">
        <v>29</v>
      </c>
      <c r="M627" t="s">
        <v>34</v>
      </c>
    </row>
    <row r="628" spans="1:13">
      <c r="A628" s="4" t="s">
        <v>780</v>
      </c>
      <c r="B628" t="s">
        <v>42</v>
      </c>
      <c r="C628" s="2">
        <v>45812</v>
      </c>
      <c r="D628" s="4" t="s">
        <v>384</v>
      </c>
      <c r="E628" s="4" t="s">
        <v>49</v>
      </c>
      <c r="F628" s="6">
        <v>4</v>
      </c>
      <c r="G628" s="6">
        <v>120000</v>
      </c>
      <c r="H628" s="6">
        <v>480000</v>
      </c>
      <c r="I628" s="6">
        <v>94176.06</v>
      </c>
      <c r="J628" s="6">
        <v>103295.76</v>
      </c>
      <c r="K628" t="s">
        <v>71</v>
      </c>
      <c r="L628" t="s">
        <v>29</v>
      </c>
      <c r="M628" t="s">
        <v>25</v>
      </c>
    </row>
    <row r="629" spans="1:13">
      <c r="A629" s="4" t="s">
        <v>781</v>
      </c>
      <c r="B629" t="s">
        <v>224</v>
      </c>
      <c r="C629" s="2">
        <v>46009</v>
      </c>
      <c r="D629" s="4" t="s">
        <v>28</v>
      </c>
      <c r="E629" s="4" t="s">
        <v>23</v>
      </c>
      <c r="F629" s="6">
        <v>3</v>
      </c>
      <c r="G629" s="6">
        <v>180000</v>
      </c>
      <c r="H629" s="6">
        <v>540000</v>
      </c>
      <c r="I629" s="6">
        <v>124238.53</v>
      </c>
      <c r="J629" s="6">
        <v>167284.41</v>
      </c>
      <c r="K629" t="s">
        <v>17</v>
      </c>
      <c r="L629" t="s">
        <v>53</v>
      </c>
      <c r="M629" t="s">
        <v>67</v>
      </c>
    </row>
    <row r="630" spans="1:13">
      <c r="A630" s="4" t="s">
        <v>782</v>
      </c>
      <c r="B630" t="s">
        <v>222</v>
      </c>
      <c r="C630" s="2">
        <v>45967</v>
      </c>
      <c r="D630" s="4" t="s">
        <v>48</v>
      </c>
      <c r="E630" s="4" t="s">
        <v>49</v>
      </c>
      <c r="F630" s="6">
        <v>7</v>
      </c>
      <c r="G630" s="6">
        <v>100000</v>
      </c>
      <c r="H630" s="6">
        <v>700000</v>
      </c>
      <c r="I630" s="6">
        <v>77034.31</v>
      </c>
      <c r="J630" s="6">
        <v>160759.82999999999</v>
      </c>
      <c r="K630" t="s">
        <v>33</v>
      </c>
      <c r="L630" t="s">
        <v>18</v>
      </c>
      <c r="M630" t="s">
        <v>34</v>
      </c>
    </row>
    <row r="631" spans="1:13">
      <c r="A631" s="4" t="s">
        <v>783</v>
      </c>
      <c r="B631" t="s">
        <v>630</v>
      </c>
      <c r="C631" s="2">
        <v>45697</v>
      </c>
      <c r="D631" s="4" t="s">
        <v>56</v>
      </c>
      <c r="E631" s="4" t="s">
        <v>23</v>
      </c>
      <c r="F631" s="6">
        <v>4</v>
      </c>
      <c r="G631" s="6">
        <v>45000</v>
      </c>
      <c r="H631" s="6">
        <v>180000</v>
      </c>
      <c r="I631" s="6">
        <v>36709.699999999997</v>
      </c>
      <c r="J631" s="6">
        <v>33161.199999999997</v>
      </c>
      <c r="K631" t="s">
        <v>17</v>
      </c>
      <c r="L631" t="s">
        <v>18</v>
      </c>
      <c r="M631" t="s">
        <v>38</v>
      </c>
    </row>
    <row r="632" spans="1:13">
      <c r="A632" s="4" t="s">
        <v>784</v>
      </c>
      <c r="B632" t="s">
        <v>62</v>
      </c>
      <c r="C632" s="2">
        <v>45964</v>
      </c>
      <c r="D632" s="4" t="s">
        <v>66</v>
      </c>
      <c r="E632" s="4" t="s">
        <v>49</v>
      </c>
      <c r="F632" s="6">
        <v>11</v>
      </c>
      <c r="G632" s="6">
        <v>175000</v>
      </c>
      <c r="H632" s="6">
        <v>1925000</v>
      </c>
      <c r="I632" s="6">
        <v>138132.92000000001</v>
      </c>
      <c r="J632" s="6">
        <v>405537.88</v>
      </c>
      <c r="K632" t="s">
        <v>17</v>
      </c>
      <c r="L632" t="s">
        <v>29</v>
      </c>
      <c r="M632" t="s">
        <v>30</v>
      </c>
    </row>
    <row r="633" spans="1:13">
      <c r="A633" s="4" t="s">
        <v>785</v>
      </c>
      <c r="B633" t="s">
        <v>213</v>
      </c>
      <c r="C633" s="2">
        <v>45793</v>
      </c>
      <c r="D633" s="4" t="s">
        <v>22</v>
      </c>
      <c r="E633" s="4" t="s">
        <v>23</v>
      </c>
      <c r="F633" s="6">
        <v>1</v>
      </c>
      <c r="G633" s="6">
        <v>150000</v>
      </c>
      <c r="H633" s="6">
        <v>150000</v>
      </c>
      <c r="I633" s="6">
        <v>108476.57</v>
      </c>
      <c r="J633" s="6">
        <v>41523.43</v>
      </c>
      <c r="K633" t="s">
        <v>24</v>
      </c>
      <c r="L633" t="s">
        <v>29</v>
      </c>
      <c r="M633" t="s">
        <v>25</v>
      </c>
    </row>
    <row r="634" spans="1:13">
      <c r="A634" s="4" t="s">
        <v>786</v>
      </c>
      <c r="B634" t="s">
        <v>77</v>
      </c>
      <c r="C634" s="2">
        <v>45974</v>
      </c>
      <c r="D634" s="4" t="s">
        <v>52</v>
      </c>
      <c r="E634" s="4" t="s">
        <v>23</v>
      </c>
      <c r="F634" s="6">
        <v>2</v>
      </c>
      <c r="G634" s="6">
        <v>85000</v>
      </c>
      <c r="H634" s="6">
        <v>170000</v>
      </c>
      <c r="I634" s="6">
        <v>61246.400000000001</v>
      </c>
      <c r="J634" s="6">
        <v>47507.199999999997</v>
      </c>
      <c r="K634" t="s">
        <v>17</v>
      </c>
      <c r="L634" t="s">
        <v>29</v>
      </c>
      <c r="M634" t="s">
        <v>25</v>
      </c>
    </row>
    <row r="635" spans="1:13">
      <c r="A635" s="4" t="s">
        <v>787</v>
      </c>
      <c r="B635" t="s">
        <v>211</v>
      </c>
      <c r="C635" s="2">
        <v>45980</v>
      </c>
      <c r="D635" s="4" t="s">
        <v>15</v>
      </c>
      <c r="E635" s="4" t="s">
        <v>16</v>
      </c>
      <c r="F635" s="6">
        <v>4</v>
      </c>
      <c r="G635" s="6">
        <v>8000</v>
      </c>
      <c r="H635" s="6">
        <v>32000</v>
      </c>
      <c r="I635" s="6">
        <v>5997.77</v>
      </c>
      <c r="J635" s="6">
        <v>8008.92</v>
      </c>
      <c r="K635" t="s">
        <v>71</v>
      </c>
      <c r="L635" t="s">
        <v>18</v>
      </c>
      <c r="M635" t="s">
        <v>30</v>
      </c>
    </row>
    <row r="636" spans="1:13">
      <c r="A636" s="4" t="s">
        <v>788</v>
      </c>
      <c r="B636" t="s">
        <v>205</v>
      </c>
      <c r="C636" s="2">
        <v>45880</v>
      </c>
      <c r="D636" s="4" t="s">
        <v>28</v>
      </c>
      <c r="E636" s="4" t="s">
        <v>23</v>
      </c>
      <c r="F636" s="6">
        <v>2</v>
      </c>
      <c r="G636" s="6">
        <v>300000</v>
      </c>
      <c r="H636" s="6">
        <v>600000</v>
      </c>
      <c r="I636" s="6">
        <v>224680.14</v>
      </c>
      <c r="J636" s="6">
        <v>150639.72</v>
      </c>
      <c r="K636" t="s">
        <v>80</v>
      </c>
      <c r="L636" t="s">
        <v>53</v>
      </c>
      <c r="M636" t="s">
        <v>38</v>
      </c>
    </row>
    <row r="637" spans="1:13">
      <c r="A637" s="4" t="s">
        <v>789</v>
      </c>
      <c r="B637" t="s">
        <v>294</v>
      </c>
      <c r="C637" s="2">
        <v>45747</v>
      </c>
      <c r="D637" s="4" t="s">
        <v>37</v>
      </c>
      <c r="E637" s="4" t="s">
        <v>16</v>
      </c>
      <c r="F637" s="6">
        <v>10</v>
      </c>
      <c r="G637" s="6">
        <v>25000</v>
      </c>
      <c r="H637" s="6">
        <v>250000</v>
      </c>
      <c r="I637" s="6">
        <v>14725.73</v>
      </c>
      <c r="J637" s="6">
        <v>102742.7</v>
      </c>
      <c r="K637" t="s">
        <v>80</v>
      </c>
      <c r="L637" t="s">
        <v>18</v>
      </c>
      <c r="M637" t="s">
        <v>67</v>
      </c>
    </row>
    <row r="638" spans="1:13">
      <c r="A638" s="4" t="s">
        <v>790</v>
      </c>
      <c r="B638" t="s">
        <v>250</v>
      </c>
      <c r="C638" s="2">
        <v>46018</v>
      </c>
      <c r="D638" s="4" t="s">
        <v>28</v>
      </c>
      <c r="E638" s="4" t="s">
        <v>23</v>
      </c>
      <c r="F638" s="6">
        <v>2</v>
      </c>
      <c r="G638" s="6">
        <v>180000</v>
      </c>
      <c r="H638" s="6">
        <v>360000</v>
      </c>
      <c r="I638" s="6">
        <v>113619.79</v>
      </c>
      <c r="J638" s="6">
        <v>132760.42000000001</v>
      </c>
      <c r="K638" t="s">
        <v>71</v>
      </c>
      <c r="L638" t="s">
        <v>18</v>
      </c>
      <c r="M638" t="s">
        <v>50</v>
      </c>
    </row>
    <row r="639" spans="1:13">
      <c r="A639" s="4" t="s">
        <v>791</v>
      </c>
      <c r="B639" t="s">
        <v>250</v>
      </c>
      <c r="C639" s="2">
        <v>45862</v>
      </c>
      <c r="D639" s="4" t="s">
        <v>28</v>
      </c>
      <c r="E639" s="4" t="s">
        <v>23</v>
      </c>
      <c r="F639" s="6">
        <v>11</v>
      </c>
      <c r="G639" s="6">
        <v>300000</v>
      </c>
      <c r="H639" s="6">
        <v>3300000</v>
      </c>
      <c r="I639" s="6">
        <v>233117.38</v>
      </c>
      <c r="J639" s="6">
        <v>735708.82</v>
      </c>
      <c r="K639" t="s">
        <v>33</v>
      </c>
      <c r="L639" t="s">
        <v>53</v>
      </c>
      <c r="M639" t="s">
        <v>30</v>
      </c>
    </row>
    <row r="640" spans="1:13">
      <c r="A640" s="4" t="s">
        <v>792</v>
      </c>
      <c r="B640" t="s">
        <v>222</v>
      </c>
      <c r="C640" s="2">
        <v>45950</v>
      </c>
      <c r="D640" s="4" t="s">
        <v>15</v>
      </c>
      <c r="E640" s="4" t="s">
        <v>16</v>
      </c>
      <c r="F640" s="6">
        <v>10</v>
      </c>
      <c r="G640" s="6">
        <v>10000</v>
      </c>
      <c r="H640" s="6">
        <v>100000</v>
      </c>
      <c r="I640" s="6">
        <v>6249.71</v>
      </c>
      <c r="J640" s="6">
        <v>37502.9</v>
      </c>
      <c r="K640" t="s">
        <v>24</v>
      </c>
      <c r="L640" t="s">
        <v>18</v>
      </c>
      <c r="M640" t="s">
        <v>34</v>
      </c>
    </row>
    <row r="641" spans="1:13">
      <c r="A641" s="4" t="s">
        <v>793</v>
      </c>
      <c r="B641" t="s">
        <v>40</v>
      </c>
      <c r="C641" s="2">
        <v>45994</v>
      </c>
      <c r="D641" s="4" t="s">
        <v>37</v>
      </c>
      <c r="E641" s="4" t="s">
        <v>16</v>
      </c>
      <c r="F641" s="6">
        <v>9</v>
      </c>
      <c r="G641" s="6">
        <v>18000</v>
      </c>
      <c r="H641" s="6">
        <v>162000</v>
      </c>
      <c r="I641" s="6">
        <v>11281.3</v>
      </c>
      <c r="J641" s="6">
        <v>60468.3</v>
      </c>
      <c r="K641" t="s">
        <v>33</v>
      </c>
      <c r="L641" t="s">
        <v>18</v>
      </c>
      <c r="M641" t="s">
        <v>38</v>
      </c>
    </row>
    <row r="642" spans="1:13">
      <c r="A642" s="4" t="s">
        <v>794</v>
      </c>
      <c r="B642" t="s">
        <v>75</v>
      </c>
      <c r="C642" s="2">
        <v>45949</v>
      </c>
      <c r="D642" s="4" t="s">
        <v>45</v>
      </c>
      <c r="E642" s="4" t="s">
        <v>23</v>
      </c>
      <c r="F642" s="6">
        <v>9</v>
      </c>
      <c r="G642" s="6">
        <v>450000</v>
      </c>
      <c r="H642" s="6">
        <v>4050000</v>
      </c>
      <c r="I642" s="6">
        <v>342060.33</v>
      </c>
      <c r="J642" s="6">
        <v>971457.03</v>
      </c>
      <c r="K642" t="s">
        <v>17</v>
      </c>
      <c r="L642" t="s">
        <v>53</v>
      </c>
      <c r="M642" t="s">
        <v>38</v>
      </c>
    </row>
    <row r="643" spans="1:13">
      <c r="A643" s="4" t="s">
        <v>795</v>
      </c>
      <c r="B643" t="s">
        <v>154</v>
      </c>
      <c r="C643" s="2">
        <v>45997</v>
      </c>
      <c r="D643" s="4" t="s">
        <v>15</v>
      </c>
      <c r="E643" s="4" t="s">
        <v>16</v>
      </c>
      <c r="F643" s="6">
        <v>11</v>
      </c>
      <c r="G643" s="6">
        <v>8000</v>
      </c>
      <c r="H643" s="6">
        <v>88000</v>
      </c>
      <c r="I643" s="6">
        <v>5271.03</v>
      </c>
      <c r="J643" s="6">
        <v>30018.67</v>
      </c>
      <c r="K643" t="s">
        <v>33</v>
      </c>
      <c r="L643" t="s">
        <v>29</v>
      </c>
      <c r="M643" t="s">
        <v>38</v>
      </c>
    </row>
    <row r="644" spans="1:13">
      <c r="A644" s="4" t="s">
        <v>796</v>
      </c>
      <c r="B644" t="s">
        <v>32</v>
      </c>
      <c r="C644" s="2">
        <v>45896</v>
      </c>
      <c r="D644" s="4" t="s">
        <v>48</v>
      </c>
      <c r="E644" s="4" t="s">
        <v>49</v>
      </c>
      <c r="F644" s="6">
        <v>7</v>
      </c>
      <c r="G644" s="6">
        <v>100000</v>
      </c>
      <c r="H644" s="6">
        <v>700000</v>
      </c>
      <c r="I644" s="6">
        <v>62964.03</v>
      </c>
      <c r="J644" s="6">
        <v>259251.79</v>
      </c>
      <c r="K644" t="s">
        <v>80</v>
      </c>
      <c r="L644" t="s">
        <v>18</v>
      </c>
      <c r="M644" t="s">
        <v>38</v>
      </c>
    </row>
    <row r="645" spans="1:13">
      <c r="A645" s="4" t="s">
        <v>797</v>
      </c>
      <c r="B645" t="s">
        <v>113</v>
      </c>
      <c r="C645" s="2">
        <v>45799</v>
      </c>
      <c r="D645" s="4" t="s">
        <v>63</v>
      </c>
      <c r="E645" s="4" t="s">
        <v>16</v>
      </c>
      <c r="F645" s="6">
        <v>4</v>
      </c>
      <c r="G645" s="6">
        <v>7000</v>
      </c>
      <c r="H645" s="6">
        <v>28000</v>
      </c>
      <c r="I645" s="6">
        <v>5677.94</v>
      </c>
      <c r="J645" s="6">
        <v>5288.24</v>
      </c>
      <c r="K645" t="s">
        <v>80</v>
      </c>
      <c r="L645" t="s">
        <v>18</v>
      </c>
      <c r="M645" t="s">
        <v>67</v>
      </c>
    </row>
    <row r="646" spans="1:13">
      <c r="A646" s="4" t="s">
        <v>798</v>
      </c>
      <c r="B646" t="s">
        <v>156</v>
      </c>
      <c r="C646" s="2">
        <v>45974</v>
      </c>
      <c r="D646" s="4" t="s">
        <v>106</v>
      </c>
      <c r="E646" s="4" t="s">
        <v>23</v>
      </c>
      <c r="F646" s="6">
        <v>10</v>
      </c>
      <c r="G646" s="6">
        <v>150000</v>
      </c>
      <c r="H646" s="6">
        <v>1500000</v>
      </c>
      <c r="I646" s="6">
        <v>111863.84</v>
      </c>
      <c r="J646" s="6">
        <v>381361.6</v>
      </c>
      <c r="K646" t="s">
        <v>80</v>
      </c>
      <c r="L646" t="s">
        <v>29</v>
      </c>
      <c r="M646" t="s">
        <v>67</v>
      </c>
    </row>
    <row r="647" spans="1:13">
      <c r="A647" s="4" t="s">
        <v>799</v>
      </c>
      <c r="B647" t="s">
        <v>365</v>
      </c>
      <c r="C647" s="2">
        <v>45974</v>
      </c>
      <c r="D647" s="4" t="s">
        <v>28</v>
      </c>
      <c r="E647" s="4" t="s">
        <v>23</v>
      </c>
      <c r="F647" s="6">
        <v>6</v>
      </c>
      <c r="G647" s="6">
        <v>300000</v>
      </c>
      <c r="H647" s="6">
        <v>1800000</v>
      </c>
      <c r="I647" s="6">
        <v>210542.93</v>
      </c>
      <c r="J647" s="6">
        <v>536742.42000000004</v>
      </c>
      <c r="K647" t="s">
        <v>71</v>
      </c>
      <c r="L647" t="s">
        <v>29</v>
      </c>
      <c r="M647" t="s">
        <v>67</v>
      </c>
    </row>
    <row r="648" spans="1:13">
      <c r="A648" s="4" t="s">
        <v>800</v>
      </c>
      <c r="B648" t="s">
        <v>55</v>
      </c>
      <c r="C648" s="2">
        <v>45992</v>
      </c>
      <c r="D648" s="4" t="s">
        <v>37</v>
      </c>
      <c r="E648" s="4" t="s">
        <v>16</v>
      </c>
      <c r="F648" s="6">
        <v>11</v>
      </c>
      <c r="G648" s="6">
        <v>25000</v>
      </c>
      <c r="H648" s="6">
        <v>275000</v>
      </c>
      <c r="I648" s="6">
        <v>17250.22</v>
      </c>
      <c r="J648" s="6">
        <v>85247.58</v>
      </c>
      <c r="K648" t="s">
        <v>33</v>
      </c>
      <c r="L648" t="s">
        <v>53</v>
      </c>
      <c r="M648" t="s">
        <v>38</v>
      </c>
    </row>
    <row r="649" spans="1:13">
      <c r="A649" s="4" t="s">
        <v>801</v>
      </c>
      <c r="B649" t="s">
        <v>127</v>
      </c>
      <c r="C649" s="2">
        <v>45895</v>
      </c>
      <c r="D649" s="4" t="s">
        <v>37</v>
      </c>
      <c r="E649" s="4" t="s">
        <v>16</v>
      </c>
      <c r="F649" s="6">
        <v>6</v>
      </c>
      <c r="G649" s="6">
        <v>25000</v>
      </c>
      <c r="H649" s="6">
        <v>150000</v>
      </c>
      <c r="I649" s="6">
        <v>20331.150000000001</v>
      </c>
      <c r="J649" s="6">
        <v>28013.1</v>
      </c>
      <c r="K649" t="s">
        <v>71</v>
      </c>
      <c r="L649" t="s">
        <v>18</v>
      </c>
      <c r="M649" t="s">
        <v>25</v>
      </c>
    </row>
    <row r="650" spans="1:13">
      <c r="A650" s="4" t="s">
        <v>802</v>
      </c>
      <c r="B650" t="s">
        <v>90</v>
      </c>
      <c r="C650" s="2">
        <v>45908</v>
      </c>
      <c r="D650" s="4" t="s">
        <v>37</v>
      </c>
      <c r="E650" s="4" t="s">
        <v>16</v>
      </c>
      <c r="F650" s="6">
        <v>7</v>
      </c>
      <c r="G650" s="6">
        <v>12000</v>
      </c>
      <c r="H650" s="6">
        <v>84000</v>
      </c>
      <c r="I650" s="6">
        <v>9243.09</v>
      </c>
      <c r="J650" s="6">
        <v>19298.37</v>
      </c>
      <c r="K650" t="s">
        <v>24</v>
      </c>
      <c r="L650" t="s">
        <v>29</v>
      </c>
      <c r="M650" t="s">
        <v>25</v>
      </c>
    </row>
    <row r="651" spans="1:13">
      <c r="A651" s="4" t="s">
        <v>803</v>
      </c>
      <c r="B651" t="s">
        <v>415</v>
      </c>
      <c r="C651" s="2">
        <v>45777</v>
      </c>
      <c r="D651" s="4" t="s">
        <v>45</v>
      </c>
      <c r="E651" s="4" t="s">
        <v>23</v>
      </c>
      <c r="F651" s="6">
        <v>4</v>
      </c>
      <c r="G651" s="6">
        <v>650000</v>
      </c>
      <c r="H651" s="6">
        <v>2600000</v>
      </c>
      <c r="I651" s="6">
        <v>435316.04</v>
      </c>
      <c r="J651" s="6">
        <v>858735.84</v>
      </c>
      <c r="K651" t="s">
        <v>17</v>
      </c>
      <c r="L651" t="s">
        <v>53</v>
      </c>
      <c r="M651" t="s">
        <v>38</v>
      </c>
    </row>
    <row r="652" spans="1:13">
      <c r="A652" s="4" t="s">
        <v>804</v>
      </c>
      <c r="B652" t="s">
        <v>77</v>
      </c>
      <c r="C652" s="2">
        <v>45826</v>
      </c>
      <c r="D652" s="4" t="s">
        <v>106</v>
      </c>
      <c r="E652" s="4" t="s">
        <v>23</v>
      </c>
      <c r="F652" s="6">
        <v>9</v>
      </c>
      <c r="G652" s="6">
        <v>150000</v>
      </c>
      <c r="H652" s="6">
        <v>1350000</v>
      </c>
      <c r="I652" s="6">
        <v>105887.26</v>
      </c>
      <c r="J652" s="6">
        <v>397014.66</v>
      </c>
      <c r="K652" t="s">
        <v>71</v>
      </c>
      <c r="L652" t="s">
        <v>18</v>
      </c>
      <c r="M652" t="s">
        <v>67</v>
      </c>
    </row>
    <row r="653" spans="1:13">
      <c r="A653" s="4" t="s">
        <v>805</v>
      </c>
      <c r="B653" t="s">
        <v>146</v>
      </c>
      <c r="C653" s="2">
        <v>45901</v>
      </c>
      <c r="D653" s="4" t="s">
        <v>349</v>
      </c>
      <c r="E653" s="4" t="s">
        <v>23</v>
      </c>
      <c r="F653" s="6">
        <v>9</v>
      </c>
      <c r="G653" s="6">
        <v>45000</v>
      </c>
      <c r="H653" s="6">
        <v>405000</v>
      </c>
      <c r="I653" s="6">
        <v>28962.61</v>
      </c>
      <c r="J653" s="6">
        <v>144336.51</v>
      </c>
      <c r="K653" t="s">
        <v>80</v>
      </c>
      <c r="L653" t="s">
        <v>53</v>
      </c>
      <c r="M653" t="s">
        <v>25</v>
      </c>
    </row>
    <row r="654" spans="1:13">
      <c r="A654" s="4" t="s">
        <v>806</v>
      </c>
      <c r="B654" t="s">
        <v>417</v>
      </c>
      <c r="C654" s="2">
        <v>45991</v>
      </c>
      <c r="D654" s="4" t="s">
        <v>22</v>
      </c>
      <c r="E654" s="4" t="s">
        <v>23</v>
      </c>
      <c r="F654" s="6">
        <v>8</v>
      </c>
      <c r="G654" s="6">
        <v>280000</v>
      </c>
      <c r="H654" s="6">
        <v>2240000</v>
      </c>
      <c r="I654" s="6">
        <v>185600.84</v>
      </c>
      <c r="J654" s="6">
        <v>755193.28</v>
      </c>
      <c r="K654" t="s">
        <v>80</v>
      </c>
      <c r="L654" t="s">
        <v>53</v>
      </c>
      <c r="M654" t="s">
        <v>19</v>
      </c>
    </row>
    <row r="655" spans="1:13">
      <c r="A655" s="4" t="s">
        <v>807</v>
      </c>
      <c r="B655" t="s">
        <v>308</v>
      </c>
      <c r="C655" s="2">
        <v>45851</v>
      </c>
      <c r="D655" s="4" t="s">
        <v>66</v>
      </c>
      <c r="E655" s="4" t="s">
        <v>49</v>
      </c>
      <c r="F655" s="6">
        <v>7</v>
      </c>
      <c r="G655" s="6">
        <v>90000</v>
      </c>
      <c r="H655" s="6">
        <v>630000</v>
      </c>
      <c r="I655" s="6">
        <v>66946.98</v>
      </c>
      <c r="J655" s="6">
        <v>161371.14000000001</v>
      </c>
      <c r="K655" t="s">
        <v>33</v>
      </c>
      <c r="L655" t="s">
        <v>53</v>
      </c>
      <c r="M655" t="s">
        <v>38</v>
      </c>
    </row>
    <row r="656" spans="1:13">
      <c r="A656" s="4" t="s">
        <v>808</v>
      </c>
      <c r="B656" t="s">
        <v>60</v>
      </c>
      <c r="C656" s="2">
        <v>45812</v>
      </c>
      <c r="D656" s="4" t="s">
        <v>52</v>
      </c>
      <c r="E656" s="4" t="s">
        <v>23</v>
      </c>
      <c r="F656" s="6">
        <v>3</v>
      </c>
      <c r="G656" s="6">
        <v>65000</v>
      </c>
      <c r="H656" s="6">
        <v>195000</v>
      </c>
      <c r="I656" s="6">
        <v>39156.1</v>
      </c>
      <c r="J656" s="6">
        <v>77531.7</v>
      </c>
      <c r="K656" t="s">
        <v>24</v>
      </c>
      <c r="L656" t="s">
        <v>53</v>
      </c>
      <c r="M656" t="s">
        <v>19</v>
      </c>
    </row>
    <row r="657" spans="1:13">
      <c r="A657" s="4" t="s">
        <v>809</v>
      </c>
      <c r="B657" t="s">
        <v>113</v>
      </c>
      <c r="C657" s="2">
        <v>45756</v>
      </c>
      <c r="D657" s="4" t="s">
        <v>15</v>
      </c>
      <c r="E657" s="4" t="s">
        <v>16</v>
      </c>
      <c r="F657" s="6">
        <v>4</v>
      </c>
      <c r="G657" s="6">
        <v>8000</v>
      </c>
      <c r="H657" s="6">
        <v>32000</v>
      </c>
      <c r="I657" s="6">
        <v>5119.0200000000004</v>
      </c>
      <c r="J657" s="6">
        <v>11523.92</v>
      </c>
      <c r="K657" t="s">
        <v>17</v>
      </c>
      <c r="L657" t="s">
        <v>29</v>
      </c>
      <c r="M657" t="s">
        <v>38</v>
      </c>
    </row>
    <row r="658" spans="1:13">
      <c r="A658" s="4" t="s">
        <v>810</v>
      </c>
      <c r="B658" t="s">
        <v>208</v>
      </c>
      <c r="C658" s="2">
        <v>45766</v>
      </c>
      <c r="D658" s="4" t="s">
        <v>106</v>
      </c>
      <c r="E658" s="4" t="s">
        <v>23</v>
      </c>
      <c r="F658" s="6">
        <v>3</v>
      </c>
      <c r="G658" s="6">
        <v>150000</v>
      </c>
      <c r="H658" s="6">
        <v>450000</v>
      </c>
      <c r="I658" s="6">
        <v>97420.1</v>
      </c>
      <c r="J658" s="6">
        <v>157739.70000000001</v>
      </c>
      <c r="K658" t="s">
        <v>17</v>
      </c>
      <c r="L658" t="s">
        <v>29</v>
      </c>
      <c r="M658" t="s">
        <v>38</v>
      </c>
    </row>
    <row r="659" spans="1:13">
      <c r="A659" s="4" t="s">
        <v>811</v>
      </c>
      <c r="B659" t="s">
        <v>127</v>
      </c>
      <c r="C659" s="2">
        <v>45862</v>
      </c>
      <c r="D659" s="4" t="s">
        <v>37</v>
      </c>
      <c r="E659" s="4" t="s">
        <v>16</v>
      </c>
      <c r="F659" s="6">
        <v>6</v>
      </c>
      <c r="G659" s="6">
        <v>18000</v>
      </c>
      <c r="H659" s="6">
        <v>108000</v>
      </c>
      <c r="I659" s="6">
        <v>14174</v>
      </c>
      <c r="J659" s="6">
        <v>22956</v>
      </c>
      <c r="K659" t="s">
        <v>24</v>
      </c>
      <c r="L659" t="s">
        <v>29</v>
      </c>
      <c r="M659" t="s">
        <v>38</v>
      </c>
    </row>
    <row r="660" spans="1:13">
      <c r="A660" s="4" t="s">
        <v>812</v>
      </c>
      <c r="B660" t="s">
        <v>125</v>
      </c>
      <c r="C660" s="2">
        <v>45855</v>
      </c>
      <c r="D660" s="4" t="s">
        <v>66</v>
      </c>
      <c r="E660" s="4" t="s">
        <v>49</v>
      </c>
      <c r="F660" s="6">
        <v>6</v>
      </c>
      <c r="G660" s="6">
        <v>90000</v>
      </c>
      <c r="H660" s="6">
        <v>540000</v>
      </c>
      <c r="I660" s="6">
        <v>62917.99</v>
      </c>
      <c r="J660" s="6">
        <v>162492.06</v>
      </c>
      <c r="K660" t="s">
        <v>24</v>
      </c>
      <c r="L660" t="s">
        <v>18</v>
      </c>
      <c r="M660" t="s">
        <v>19</v>
      </c>
    </row>
    <row r="661" spans="1:13">
      <c r="A661" s="4" t="s">
        <v>813</v>
      </c>
      <c r="B661" t="s">
        <v>94</v>
      </c>
      <c r="C661" s="2">
        <v>45915</v>
      </c>
      <c r="D661" s="4" t="s">
        <v>70</v>
      </c>
      <c r="E661" s="4" t="s">
        <v>16</v>
      </c>
      <c r="F661" s="6">
        <f>Cleaned_Data4[[#This Row],[Sales_Amount]]/Cleaned_Data4[[#This Row],[Unit_Price]]</f>
        <v>6</v>
      </c>
      <c r="G661" s="6">
        <v>15000</v>
      </c>
      <c r="H661" s="6">
        <v>90000</v>
      </c>
      <c r="I661" s="6">
        <v>10090.200000000001</v>
      </c>
      <c r="J661" s="6">
        <v>29458.799999999999</v>
      </c>
      <c r="K661" t="s">
        <v>24</v>
      </c>
      <c r="L661" t="s">
        <v>53</v>
      </c>
      <c r="M661" t="s">
        <v>67</v>
      </c>
    </row>
    <row r="662" spans="1:13">
      <c r="A662" s="4" t="s">
        <v>814</v>
      </c>
      <c r="B662" t="s">
        <v>121</v>
      </c>
      <c r="C662" s="2">
        <v>45936</v>
      </c>
      <c r="D662" s="4" t="s">
        <v>63</v>
      </c>
      <c r="E662" s="4" t="s">
        <v>16</v>
      </c>
      <c r="F662" s="6">
        <v>11</v>
      </c>
      <c r="G662" s="6">
        <v>5000</v>
      </c>
      <c r="H662" s="6">
        <v>55000</v>
      </c>
      <c r="I662" s="6">
        <v>2972.66</v>
      </c>
      <c r="J662" s="6">
        <v>22300.74</v>
      </c>
      <c r="K662" t="s">
        <v>71</v>
      </c>
      <c r="L662" t="s">
        <v>53</v>
      </c>
      <c r="M662" t="s">
        <v>34</v>
      </c>
    </row>
    <row r="663" spans="1:13">
      <c r="A663" s="4" t="s">
        <v>815</v>
      </c>
      <c r="B663" t="s">
        <v>84</v>
      </c>
      <c r="C663" s="2">
        <v>45749</v>
      </c>
      <c r="D663" s="4" t="s">
        <v>45</v>
      </c>
      <c r="E663" s="4" t="s">
        <v>23</v>
      </c>
      <c r="F663" s="6">
        <v>6</v>
      </c>
      <c r="G663" s="6">
        <v>450000</v>
      </c>
      <c r="H663" s="6">
        <v>2700000</v>
      </c>
      <c r="I663" s="6">
        <v>364838.67</v>
      </c>
      <c r="J663" s="6">
        <v>510967.98</v>
      </c>
      <c r="K663" t="s">
        <v>71</v>
      </c>
      <c r="L663" t="s">
        <v>18</v>
      </c>
      <c r="M663" t="s">
        <v>34</v>
      </c>
    </row>
    <row r="664" spans="1:13">
      <c r="A664" s="4" t="s">
        <v>816</v>
      </c>
      <c r="B664" t="s">
        <v>127</v>
      </c>
      <c r="C664" s="2">
        <v>45720</v>
      </c>
      <c r="D664" s="4" t="s">
        <v>106</v>
      </c>
      <c r="E664" s="4" t="s">
        <v>23</v>
      </c>
      <c r="F664" s="6">
        <v>1</v>
      </c>
      <c r="G664" s="6">
        <v>150000</v>
      </c>
      <c r="H664" s="6">
        <v>150000</v>
      </c>
      <c r="I664" s="6">
        <v>120518.48</v>
      </c>
      <c r="J664" s="6">
        <v>29481.52</v>
      </c>
      <c r="K664" t="s">
        <v>71</v>
      </c>
      <c r="L664" t="s">
        <v>29</v>
      </c>
      <c r="M664" t="s">
        <v>19</v>
      </c>
    </row>
    <row r="665" spans="1:13">
      <c r="A665" s="4" t="s">
        <v>817</v>
      </c>
      <c r="B665" t="s">
        <v>113</v>
      </c>
      <c r="C665" s="2">
        <v>45773</v>
      </c>
      <c r="D665" s="4" t="s">
        <v>106</v>
      </c>
      <c r="E665" s="4" t="s">
        <v>23</v>
      </c>
      <c r="F665" s="6">
        <v>9</v>
      </c>
      <c r="G665" s="6">
        <v>150000</v>
      </c>
      <c r="H665" s="6">
        <v>1350000</v>
      </c>
      <c r="I665" s="6">
        <v>93055.52</v>
      </c>
      <c r="J665" s="6">
        <v>512500.32</v>
      </c>
      <c r="K665" t="s">
        <v>33</v>
      </c>
      <c r="L665" t="s">
        <v>18</v>
      </c>
      <c r="M665" t="s">
        <v>34</v>
      </c>
    </row>
    <row r="666" spans="1:13">
      <c r="A666" s="4" t="s">
        <v>818</v>
      </c>
      <c r="B666" t="s">
        <v>94</v>
      </c>
      <c r="C666" s="2">
        <v>45784</v>
      </c>
      <c r="D666" s="4" t="s">
        <v>37</v>
      </c>
      <c r="E666" s="4" t="s">
        <v>16</v>
      </c>
      <c r="F666" s="6">
        <v>11</v>
      </c>
      <c r="G666" s="6">
        <v>25000</v>
      </c>
      <c r="H666" s="6">
        <v>275000</v>
      </c>
      <c r="I666" s="6">
        <v>19738.810000000001</v>
      </c>
      <c r="J666" s="6">
        <v>57873.09</v>
      </c>
      <c r="K666" t="s">
        <v>33</v>
      </c>
      <c r="L666" t="s">
        <v>29</v>
      </c>
      <c r="M666" t="s">
        <v>25</v>
      </c>
    </row>
    <row r="667" spans="1:13">
      <c r="A667" s="4" t="s">
        <v>819</v>
      </c>
      <c r="B667" t="s">
        <v>113</v>
      </c>
      <c r="C667" s="2">
        <v>45798</v>
      </c>
      <c r="D667" s="4" t="s">
        <v>52</v>
      </c>
      <c r="E667" s="4" t="s">
        <v>23</v>
      </c>
      <c r="F667" s="6">
        <v>7</v>
      </c>
      <c r="G667" s="6">
        <v>65000</v>
      </c>
      <c r="H667" s="6">
        <v>455000</v>
      </c>
      <c r="I667" s="6">
        <v>50984.74</v>
      </c>
      <c r="J667" s="6">
        <v>98106.82</v>
      </c>
      <c r="K667" t="s">
        <v>24</v>
      </c>
      <c r="L667" t="s">
        <v>53</v>
      </c>
      <c r="M667" t="s">
        <v>30</v>
      </c>
    </row>
    <row r="668" spans="1:13">
      <c r="A668" s="4" t="s">
        <v>820</v>
      </c>
      <c r="B668" t="s">
        <v>196</v>
      </c>
      <c r="C668" s="2">
        <v>45972</v>
      </c>
      <c r="D668" s="4" t="s">
        <v>37</v>
      </c>
      <c r="E668" s="4" t="s">
        <v>16</v>
      </c>
      <c r="F668" s="6">
        <v>3</v>
      </c>
      <c r="G668" s="6">
        <v>25000</v>
      </c>
      <c r="H668" s="6">
        <v>75000</v>
      </c>
      <c r="I668" s="6">
        <v>14716.37</v>
      </c>
      <c r="J668" s="6">
        <v>30850.89</v>
      </c>
      <c r="K668" t="s">
        <v>17</v>
      </c>
      <c r="L668" t="s">
        <v>53</v>
      </c>
      <c r="M668" t="s">
        <v>67</v>
      </c>
    </row>
    <row r="669" spans="1:13">
      <c r="A669" s="4" t="s">
        <v>821</v>
      </c>
      <c r="B669" t="s">
        <v>365</v>
      </c>
      <c r="C669" s="2">
        <v>45908</v>
      </c>
      <c r="D669" s="4" t="s">
        <v>48</v>
      </c>
      <c r="E669" s="4" t="s">
        <v>49</v>
      </c>
      <c r="F669" s="6">
        <v>4</v>
      </c>
      <c r="G669" s="6">
        <v>200000</v>
      </c>
      <c r="H669" s="6">
        <v>800000</v>
      </c>
      <c r="I669" s="6">
        <v>138727.47</v>
      </c>
      <c r="J669" s="6">
        <v>245090.12</v>
      </c>
      <c r="K669" t="s">
        <v>24</v>
      </c>
      <c r="L669" t="s">
        <v>53</v>
      </c>
      <c r="M669" t="s">
        <v>38</v>
      </c>
    </row>
    <row r="670" spans="1:13">
      <c r="A670" s="4" t="s">
        <v>822</v>
      </c>
      <c r="B670" t="s">
        <v>331</v>
      </c>
      <c r="C670" s="2">
        <v>45802</v>
      </c>
      <c r="D670" s="4" t="s">
        <v>56</v>
      </c>
      <c r="E670" s="4" t="s">
        <v>23</v>
      </c>
      <c r="F670" s="6">
        <v>1</v>
      </c>
      <c r="G670" s="6">
        <v>70000</v>
      </c>
      <c r="H670" s="6">
        <v>70000</v>
      </c>
      <c r="I670" s="6">
        <v>54411.43</v>
      </c>
      <c r="J670" s="6">
        <v>15588.57</v>
      </c>
      <c r="K670" t="s">
        <v>33</v>
      </c>
      <c r="L670" t="s">
        <v>18</v>
      </c>
      <c r="M670" t="s">
        <v>30</v>
      </c>
    </row>
    <row r="671" spans="1:13">
      <c r="A671" s="4" t="s">
        <v>823</v>
      </c>
      <c r="B671" t="s">
        <v>44</v>
      </c>
      <c r="C671" s="2">
        <v>46004</v>
      </c>
      <c r="D671" s="4" t="s">
        <v>22</v>
      </c>
      <c r="E671" s="4" t="s">
        <v>23</v>
      </c>
      <c r="F671" s="6">
        <v>9</v>
      </c>
      <c r="G671" s="6">
        <v>210000</v>
      </c>
      <c r="H671" s="6">
        <v>1890000</v>
      </c>
      <c r="I671" s="6">
        <v>166946.32999999999</v>
      </c>
      <c r="J671" s="6">
        <v>387483.03</v>
      </c>
      <c r="K671" t="s">
        <v>24</v>
      </c>
      <c r="L671" t="s">
        <v>53</v>
      </c>
      <c r="M671" t="s">
        <v>19</v>
      </c>
    </row>
    <row r="672" spans="1:13">
      <c r="A672" s="4" t="s">
        <v>824</v>
      </c>
      <c r="B672" t="s">
        <v>415</v>
      </c>
      <c r="C672" s="2">
        <v>45831</v>
      </c>
      <c r="D672" s="4" t="s">
        <v>63</v>
      </c>
      <c r="E672" s="4" t="s">
        <v>16</v>
      </c>
      <c r="F672" s="6">
        <v>4</v>
      </c>
      <c r="G672" s="6">
        <v>5000</v>
      </c>
      <c r="H672" s="6">
        <v>20000</v>
      </c>
      <c r="I672" s="6">
        <v>3410.86</v>
      </c>
      <c r="J672" s="6">
        <v>6356.56</v>
      </c>
      <c r="K672" t="s">
        <v>80</v>
      </c>
      <c r="L672" t="s">
        <v>18</v>
      </c>
      <c r="M672" t="s">
        <v>25</v>
      </c>
    </row>
    <row r="673" spans="1:13">
      <c r="A673" s="4" t="s">
        <v>825</v>
      </c>
      <c r="B673" t="s">
        <v>109</v>
      </c>
      <c r="C673" s="2">
        <v>45803</v>
      </c>
      <c r="D673" s="4" t="s">
        <v>45</v>
      </c>
      <c r="E673" s="4" t="s">
        <v>23</v>
      </c>
      <c r="F673" s="6">
        <v>6</v>
      </c>
      <c r="G673" s="6">
        <v>520000</v>
      </c>
      <c r="H673" s="6">
        <v>3120000</v>
      </c>
      <c r="I673" s="6">
        <v>340049.05</v>
      </c>
      <c r="J673" s="6">
        <v>1079705.7</v>
      </c>
      <c r="K673" t="s">
        <v>33</v>
      </c>
      <c r="L673" t="s">
        <v>53</v>
      </c>
      <c r="M673" t="s">
        <v>50</v>
      </c>
    </row>
    <row r="674" spans="1:13">
      <c r="A674" s="4" t="s">
        <v>826</v>
      </c>
      <c r="B674" t="s">
        <v>308</v>
      </c>
      <c r="C674" s="2">
        <v>45902</v>
      </c>
      <c r="D674" s="4" t="s">
        <v>349</v>
      </c>
      <c r="E674" s="4" t="s">
        <v>23</v>
      </c>
      <c r="F674" s="6">
        <v>8</v>
      </c>
      <c r="G674" s="6">
        <v>85000</v>
      </c>
      <c r="H674" s="6">
        <v>680000</v>
      </c>
      <c r="I674" s="6">
        <v>57563.87</v>
      </c>
      <c r="J674" s="6">
        <v>219489.04</v>
      </c>
      <c r="K674" t="s">
        <v>33</v>
      </c>
      <c r="L674" t="s">
        <v>18</v>
      </c>
      <c r="M674" t="s">
        <v>30</v>
      </c>
    </row>
    <row r="675" spans="1:13">
      <c r="A675" s="4" t="s">
        <v>827</v>
      </c>
      <c r="B675" t="s">
        <v>47</v>
      </c>
      <c r="C675" s="2">
        <v>45786</v>
      </c>
      <c r="D675" s="4" t="s">
        <v>15</v>
      </c>
      <c r="E675" s="4" t="s">
        <v>16</v>
      </c>
      <c r="F675" s="6">
        <v>1</v>
      </c>
      <c r="G675" s="6">
        <v>10000</v>
      </c>
      <c r="H675" s="6">
        <v>10000</v>
      </c>
      <c r="I675" s="6">
        <v>7495.9</v>
      </c>
      <c r="J675" s="6">
        <v>2504.1</v>
      </c>
      <c r="K675" t="s">
        <v>24</v>
      </c>
      <c r="L675" t="s">
        <v>18</v>
      </c>
      <c r="M675" t="s">
        <v>38</v>
      </c>
    </row>
    <row r="676" spans="1:13">
      <c r="A676" s="4" t="s">
        <v>828</v>
      </c>
      <c r="B676" t="s">
        <v>302</v>
      </c>
      <c r="C676" s="2">
        <v>45921</v>
      </c>
      <c r="D676" s="4" t="s">
        <v>15</v>
      </c>
      <c r="E676" s="4" t="s">
        <v>16</v>
      </c>
      <c r="F676" s="6">
        <v>3</v>
      </c>
      <c r="G676" s="6">
        <v>10000</v>
      </c>
      <c r="H676" s="6">
        <v>30000</v>
      </c>
      <c r="I676" s="6">
        <v>6182.13</v>
      </c>
      <c r="J676" s="6">
        <v>11453.61</v>
      </c>
      <c r="K676" t="s">
        <v>33</v>
      </c>
      <c r="L676" t="s">
        <v>18</v>
      </c>
      <c r="M676" t="s">
        <v>34</v>
      </c>
    </row>
    <row r="677" spans="1:13">
      <c r="A677" s="4" t="s">
        <v>829</v>
      </c>
      <c r="B677" t="s">
        <v>75</v>
      </c>
      <c r="C677" s="2">
        <v>45818</v>
      </c>
      <c r="D677" s="4" t="s">
        <v>45</v>
      </c>
      <c r="E677" s="4" t="s">
        <v>23</v>
      </c>
      <c r="F677" s="6">
        <v>1</v>
      </c>
      <c r="G677" s="6">
        <v>450000</v>
      </c>
      <c r="H677" s="6">
        <v>450000</v>
      </c>
      <c r="I677" s="6">
        <v>324091.18</v>
      </c>
      <c r="J677" s="6">
        <v>125908.82</v>
      </c>
      <c r="K677" t="s">
        <v>33</v>
      </c>
      <c r="L677" t="s">
        <v>53</v>
      </c>
      <c r="M677" t="s">
        <v>67</v>
      </c>
    </row>
    <row r="678" spans="1:13">
      <c r="A678" s="4" t="s">
        <v>830</v>
      </c>
      <c r="B678" t="s">
        <v>141</v>
      </c>
      <c r="C678" s="2">
        <v>45983</v>
      </c>
      <c r="D678" s="4" t="s">
        <v>52</v>
      </c>
      <c r="E678" s="4" t="s">
        <v>23</v>
      </c>
      <c r="F678" s="6">
        <f>Cleaned_Data4[[#This Row],[Sales_Amount]]/Cleaned_Data4[[#This Row],[Unit_Price]]</f>
        <v>8</v>
      </c>
      <c r="G678" s="6">
        <v>45000</v>
      </c>
      <c r="H678" s="6">
        <v>360000</v>
      </c>
      <c r="I678" s="6">
        <v>28140.34</v>
      </c>
      <c r="J678" s="6">
        <v>134877.28</v>
      </c>
      <c r="K678" t="s">
        <v>71</v>
      </c>
      <c r="L678" t="s">
        <v>53</v>
      </c>
      <c r="M678" t="s">
        <v>67</v>
      </c>
    </row>
    <row r="679" spans="1:13">
      <c r="A679" s="4" t="s">
        <v>831</v>
      </c>
      <c r="B679" t="s">
        <v>331</v>
      </c>
      <c r="C679" s="2">
        <v>45665</v>
      </c>
      <c r="D679" s="4" t="s">
        <v>70</v>
      </c>
      <c r="E679" s="4" t="s">
        <v>16</v>
      </c>
      <c r="F679" s="6">
        <f>Cleaned_Data4[[#This Row],[Sales_Amount]]/Cleaned_Data4[[#This Row],[Unit_Price]]</f>
        <v>5</v>
      </c>
      <c r="G679" s="6">
        <v>35000</v>
      </c>
      <c r="H679" s="6">
        <v>175000</v>
      </c>
      <c r="I679" s="6">
        <v>21338.15</v>
      </c>
      <c r="J679" s="6">
        <v>68309.25</v>
      </c>
      <c r="K679" t="s">
        <v>24</v>
      </c>
      <c r="L679" t="s">
        <v>18</v>
      </c>
      <c r="M679" t="s">
        <v>30</v>
      </c>
    </row>
    <row r="680" spans="1:13">
      <c r="A680" s="4" t="s">
        <v>832</v>
      </c>
      <c r="B680" t="s">
        <v>58</v>
      </c>
      <c r="C680" s="2">
        <v>45827</v>
      </c>
      <c r="D680" s="4" t="s">
        <v>28</v>
      </c>
      <c r="E680" s="4" t="s">
        <v>23</v>
      </c>
      <c r="F680" s="6">
        <v>3</v>
      </c>
      <c r="G680" s="6">
        <v>300000</v>
      </c>
      <c r="H680" s="6">
        <v>900000</v>
      </c>
      <c r="I680" s="6">
        <v>207041.84</v>
      </c>
      <c r="J680" s="6">
        <v>278874.48</v>
      </c>
      <c r="K680" t="s">
        <v>71</v>
      </c>
      <c r="L680" t="s">
        <v>53</v>
      </c>
      <c r="M680" t="s">
        <v>38</v>
      </c>
    </row>
    <row r="681" spans="1:13">
      <c r="A681" s="4" t="s">
        <v>833</v>
      </c>
      <c r="B681" t="s">
        <v>512</v>
      </c>
      <c r="C681" s="2">
        <v>45814</v>
      </c>
      <c r="D681" s="4" t="s">
        <v>28</v>
      </c>
      <c r="E681" s="4" t="s">
        <v>23</v>
      </c>
      <c r="F681" s="6">
        <v>8</v>
      </c>
      <c r="G681" s="6">
        <v>220000</v>
      </c>
      <c r="H681" s="6">
        <v>1760000</v>
      </c>
      <c r="I681" s="6">
        <v>128801.1</v>
      </c>
      <c r="J681" s="6">
        <v>729591.2</v>
      </c>
      <c r="K681" t="s">
        <v>33</v>
      </c>
      <c r="L681" t="s">
        <v>53</v>
      </c>
      <c r="M681" t="s">
        <v>50</v>
      </c>
    </row>
    <row r="682" spans="1:13">
      <c r="A682" s="4" t="s">
        <v>834</v>
      </c>
      <c r="B682" t="s">
        <v>135</v>
      </c>
      <c r="C682" s="2">
        <v>45848</v>
      </c>
      <c r="D682" s="4" t="s">
        <v>52</v>
      </c>
      <c r="E682" s="4" t="s">
        <v>23</v>
      </c>
      <c r="F682" s="6">
        <v>2</v>
      </c>
      <c r="G682" s="6">
        <v>85000</v>
      </c>
      <c r="H682" s="6">
        <v>170000</v>
      </c>
      <c r="I682" s="6">
        <v>54069.97</v>
      </c>
      <c r="J682" s="6">
        <v>61860.06</v>
      </c>
      <c r="K682" t="s">
        <v>33</v>
      </c>
      <c r="L682" t="s">
        <v>18</v>
      </c>
      <c r="M682" t="s">
        <v>19</v>
      </c>
    </row>
    <row r="683" spans="1:13">
      <c r="A683" s="4" t="s">
        <v>835</v>
      </c>
      <c r="B683" t="s">
        <v>127</v>
      </c>
      <c r="C683" s="2">
        <v>45658</v>
      </c>
      <c r="D683" s="4" t="s">
        <v>56</v>
      </c>
      <c r="E683" s="4" t="s">
        <v>23</v>
      </c>
      <c r="F683" s="6">
        <v>12</v>
      </c>
      <c r="G683" s="6">
        <v>70000</v>
      </c>
      <c r="H683" s="6">
        <v>840000</v>
      </c>
      <c r="I683" s="6">
        <v>47178.9</v>
      </c>
      <c r="J683" s="6">
        <v>273853.2</v>
      </c>
      <c r="K683" t="s">
        <v>33</v>
      </c>
      <c r="L683" t="s">
        <v>53</v>
      </c>
      <c r="M683" t="s">
        <v>50</v>
      </c>
    </row>
    <row r="684" spans="1:13">
      <c r="A684" s="4" t="s">
        <v>836</v>
      </c>
      <c r="B684" t="s">
        <v>266</v>
      </c>
      <c r="C684" s="2">
        <v>45912</v>
      </c>
      <c r="D684" s="4" t="s">
        <v>52</v>
      </c>
      <c r="E684" s="4" t="s">
        <v>23</v>
      </c>
      <c r="F684" s="6">
        <v>5</v>
      </c>
      <c r="G684" s="6">
        <v>65000</v>
      </c>
      <c r="H684" s="6">
        <v>325000</v>
      </c>
      <c r="I684" s="6">
        <v>51847.82</v>
      </c>
      <c r="J684" s="6">
        <f xml:space="preserve"> H684 - (F684 - I684)</f>
        <v>376842.82</v>
      </c>
      <c r="K684" t="s">
        <v>80</v>
      </c>
      <c r="L684" t="s">
        <v>18</v>
      </c>
      <c r="M684" t="s">
        <v>67</v>
      </c>
    </row>
    <row r="685" spans="1:13">
      <c r="A685" s="4" t="s">
        <v>837</v>
      </c>
      <c r="B685" t="s">
        <v>325</v>
      </c>
      <c r="C685" s="2">
        <v>45666</v>
      </c>
      <c r="D685" s="4" t="s">
        <v>56</v>
      </c>
      <c r="E685" s="4" t="s">
        <v>23</v>
      </c>
      <c r="F685" s="6">
        <v>6</v>
      </c>
      <c r="G685" s="6">
        <v>30000</v>
      </c>
      <c r="H685" s="6">
        <v>180000</v>
      </c>
      <c r="I685" s="6">
        <v>19882.580000000002</v>
      </c>
      <c r="J685" s="6">
        <v>60704.52</v>
      </c>
      <c r="K685" t="s">
        <v>17</v>
      </c>
      <c r="L685" t="s">
        <v>18</v>
      </c>
      <c r="M685" t="s">
        <v>38</v>
      </c>
    </row>
    <row r="686" spans="1:13">
      <c r="A686" s="4" t="s">
        <v>838</v>
      </c>
      <c r="B686" t="s">
        <v>250</v>
      </c>
      <c r="C686" s="2">
        <v>45788</v>
      </c>
      <c r="D686" s="4" t="s">
        <v>70</v>
      </c>
      <c r="E686" s="4" t="s">
        <v>16</v>
      </c>
      <c r="F686" s="6">
        <v>1</v>
      </c>
      <c r="G686" s="6">
        <v>35000</v>
      </c>
      <c r="H686" s="6">
        <v>35000</v>
      </c>
      <c r="I686" s="6">
        <v>22130.37</v>
      </c>
      <c r="J686" s="6">
        <v>12869.63</v>
      </c>
      <c r="K686" t="s">
        <v>17</v>
      </c>
      <c r="L686" t="s">
        <v>29</v>
      </c>
      <c r="M686" t="s">
        <v>19</v>
      </c>
    </row>
    <row r="687" spans="1:13">
      <c r="A687" s="4" t="s">
        <v>839</v>
      </c>
      <c r="B687" t="s">
        <v>44</v>
      </c>
      <c r="C687" s="2">
        <v>45773</v>
      </c>
      <c r="D687" s="4" t="s">
        <v>15</v>
      </c>
      <c r="E687" s="4" t="s">
        <v>16</v>
      </c>
      <c r="F687" s="6">
        <v>11</v>
      </c>
      <c r="G687" s="6">
        <v>12500</v>
      </c>
      <c r="H687" s="6">
        <v>137500</v>
      </c>
      <c r="I687" s="6">
        <v>9273.2199999999993</v>
      </c>
      <c r="J687" s="6">
        <v>35494.58</v>
      </c>
      <c r="K687" t="s">
        <v>33</v>
      </c>
      <c r="L687" t="s">
        <v>29</v>
      </c>
      <c r="M687" t="s">
        <v>67</v>
      </c>
    </row>
    <row r="688" spans="1:13">
      <c r="A688" s="4" t="s">
        <v>840</v>
      </c>
      <c r="B688" t="s">
        <v>121</v>
      </c>
      <c r="C688" s="2">
        <v>45780</v>
      </c>
      <c r="D688" s="4" t="s">
        <v>70</v>
      </c>
      <c r="E688" s="4" t="s">
        <v>16</v>
      </c>
      <c r="F688" s="6">
        <v>9</v>
      </c>
      <c r="G688" s="6">
        <v>22000</v>
      </c>
      <c r="H688" s="6">
        <v>198000</v>
      </c>
      <c r="I688" s="6">
        <v>16854.71</v>
      </c>
      <c r="J688" s="6">
        <v>46307.61</v>
      </c>
      <c r="K688" t="s">
        <v>80</v>
      </c>
      <c r="L688" t="s">
        <v>18</v>
      </c>
      <c r="M688" t="s">
        <v>38</v>
      </c>
    </row>
    <row r="689" spans="1:13">
      <c r="A689" s="4" t="s">
        <v>841</v>
      </c>
      <c r="B689" t="s">
        <v>103</v>
      </c>
      <c r="C689" s="2">
        <v>45837</v>
      </c>
      <c r="D689" s="4" t="s">
        <v>70</v>
      </c>
      <c r="E689" s="4" t="s">
        <v>16</v>
      </c>
      <c r="F689" s="6">
        <v>9</v>
      </c>
      <c r="G689" s="6">
        <v>22000</v>
      </c>
      <c r="H689" s="6">
        <v>198000</v>
      </c>
      <c r="I689" s="6">
        <v>13295.54</v>
      </c>
      <c r="J689" s="6">
        <v>78340.14</v>
      </c>
      <c r="K689" t="s">
        <v>33</v>
      </c>
      <c r="L689" t="s">
        <v>18</v>
      </c>
      <c r="M689" t="s">
        <v>34</v>
      </c>
    </row>
    <row r="690" spans="1:13">
      <c r="A690" s="4" t="s">
        <v>842</v>
      </c>
      <c r="B690" t="s">
        <v>90</v>
      </c>
      <c r="C690" s="2">
        <v>45800</v>
      </c>
      <c r="D690" s="4" t="s">
        <v>63</v>
      </c>
      <c r="E690" s="4" t="s">
        <v>16</v>
      </c>
      <c r="F690" s="6">
        <v>1</v>
      </c>
      <c r="G690" s="6">
        <v>7000</v>
      </c>
      <c r="H690" s="6">
        <v>7000</v>
      </c>
      <c r="I690" s="6">
        <v>4434.1499999999996</v>
      </c>
      <c r="J690" s="6">
        <v>2565.85</v>
      </c>
      <c r="K690" t="s">
        <v>80</v>
      </c>
      <c r="L690" t="s">
        <v>29</v>
      </c>
      <c r="M690" t="s">
        <v>34</v>
      </c>
    </row>
    <row r="691" spans="1:13">
      <c r="A691" s="4" t="s">
        <v>843</v>
      </c>
      <c r="B691" t="s">
        <v>380</v>
      </c>
      <c r="C691" s="2">
        <v>45957</v>
      </c>
      <c r="D691" s="4" t="s">
        <v>52</v>
      </c>
      <c r="E691" s="4" t="s">
        <v>23</v>
      </c>
      <c r="F691" s="6">
        <v>4</v>
      </c>
      <c r="G691" s="6">
        <v>85000</v>
      </c>
      <c r="H691" s="6">
        <v>340000</v>
      </c>
      <c r="I691" s="6">
        <v>69659.289999999994</v>
      </c>
      <c r="J691" s="6">
        <v>61362.84</v>
      </c>
      <c r="K691" t="s">
        <v>33</v>
      </c>
      <c r="L691" t="s">
        <v>18</v>
      </c>
      <c r="M691" t="s">
        <v>50</v>
      </c>
    </row>
    <row r="692" spans="1:13">
      <c r="A692" s="4" t="s">
        <v>844</v>
      </c>
      <c r="B692" t="s">
        <v>121</v>
      </c>
      <c r="C692" s="2">
        <v>45931</v>
      </c>
      <c r="D692" s="4" t="s">
        <v>56</v>
      </c>
      <c r="E692" s="4" t="s">
        <v>23</v>
      </c>
      <c r="F692" s="6">
        <v>10</v>
      </c>
      <c r="G692" s="6">
        <v>30000</v>
      </c>
      <c r="H692" s="6">
        <v>300000</v>
      </c>
      <c r="I692" s="6">
        <v>19564.599999999999</v>
      </c>
      <c r="J692" s="6">
        <v>104354</v>
      </c>
      <c r="K692" t="s">
        <v>17</v>
      </c>
      <c r="L692" t="s">
        <v>53</v>
      </c>
      <c r="M692" t="s">
        <v>38</v>
      </c>
    </row>
    <row r="693" spans="1:13">
      <c r="A693" s="4" t="s">
        <v>845</v>
      </c>
      <c r="B693" t="s">
        <v>36</v>
      </c>
      <c r="C693" s="2">
        <v>45978</v>
      </c>
      <c r="D693" s="4" t="s">
        <v>106</v>
      </c>
      <c r="E693" s="4" t="s">
        <v>23</v>
      </c>
      <c r="F693" s="6">
        <v>10</v>
      </c>
      <c r="G693" s="6">
        <v>200000</v>
      </c>
      <c r="H693" s="6">
        <v>2000000</v>
      </c>
      <c r="I693" s="6">
        <v>154587.47</v>
      </c>
      <c r="J693" s="6">
        <v>454125.3</v>
      </c>
      <c r="K693" t="s">
        <v>80</v>
      </c>
      <c r="L693" t="s">
        <v>53</v>
      </c>
      <c r="M693" t="s">
        <v>25</v>
      </c>
    </row>
    <row r="694" spans="1:13">
      <c r="A694" s="4" t="s">
        <v>846</v>
      </c>
      <c r="B694" t="s">
        <v>65</v>
      </c>
      <c r="C694" s="2">
        <v>45680</v>
      </c>
      <c r="D694" s="4" t="s">
        <v>37</v>
      </c>
      <c r="E694" s="4" t="s">
        <v>16</v>
      </c>
      <c r="F694" s="6">
        <v>4</v>
      </c>
      <c r="G694" s="6">
        <v>12000</v>
      </c>
      <c r="H694" s="6">
        <v>48000</v>
      </c>
      <c r="I694" s="6">
        <v>7868.92</v>
      </c>
      <c r="J694" s="6">
        <v>16524.32</v>
      </c>
      <c r="K694" t="s">
        <v>33</v>
      </c>
      <c r="L694" t="s">
        <v>29</v>
      </c>
      <c r="M694" t="s">
        <v>34</v>
      </c>
    </row>
    <row r="695" spans="1:13">
      <c r="A695" s="4" t="s">
        <v>847</v>
      </c>
      <c r="B695" t="s">
        <v>133</v>
      </c>
      <c r="C695" s="2">
        <v>46007</v>
      </c>
      <c r="D695" s="4" t="s">
        <v>48</v>
      </c>
      <c r="E695" s="4" t="s">
        <v>49</v>
      </c>
      <c r="F695" s="6">
        <v>8</v>
      </c>
      <c r="G695" s="6">
        <v>200000</v>
      </c>
      <c r="H695" s="6">
        <v>1600000</v>
      </c>
      <c r="I695" s="6">
        <v>123398.31</v>
      </c>
      <c r="J695" s="6">
        <v>612813.52</v>
      </c>
      <c r="K695" t="s">
        <v>24</v>
      </c>
      <c r="L695" t="s">
        <v>29</v>
      </c>
      <c r="M695" t="s">
        <v>38</v>
      </c>
    </row>
    <row r="696" spans="1:13">
      <c r="A696" s="4" t="s">
        <v>848</v>
      </c>
      <c r="B696" t="s">
        <v>308</v>
      </c>
      <c r="C696" s="2">
        <v>45967</v>
      </c>
      <c r="D696" s="4" t="s">
        <v>28</v>
      </c>
      <c r="E696" s="4" t="s">
        <v>23</v>
      </c>
      <c r="F696" s="6">
        <v>3</v>
      </c>
      <c r="G696" s="6">
        <v>300000</v>
      </c>
      <c r="H696" s="6">
        <v>900000</v>
      </c>
      <c r="I696" s="6">
        <v>227205.64</v>
      </c>
      <c r="J696" s="6">
        <v>218383.08</v>
      </c>
      <c r="K696" t="s">
        <v>80</v>
      </c>
      <c r="L696" t="s">
        <v>29</v>
      </c>
      <c r="M696" t="s">
        <v>34</v>
      </c>
    </row>
    <row r="697" spans="1:13">
      <c r="A697" s="4" t="s">
        <v>849</v>
      </c>
      <c r="B697" t="s">
        <v>135</v>
      </c>
      <c r="C697" s="2">
        <v>45706</v>
      </c>
      <c r="D697" s="4" t="s">
        <v>28</v>
      </c>
      <c r="E697" s="4" t="s">
        <v>23</v>
      </c>
      <c r="F697" s="6">
        <v>2</v>
      </c>
      <c r="G697" s="6">
        <v>220000</v>
      </c>
      <c r="H697" s="6">
        <v>440000</v>
      </c>
      <c r="I697" s="6">
        <v>156557.29999999999</v>
      </c>
      <c r="J697" s="6">
        <v>126885.4</v>
      </c>
      <c r="K697" t="s">
        <v>80</v>
      </c>
      <c r="L697" t="s">
        <v>18</v>
      </c>
      <c r="M697" t="s">
        <v>34</v>
      </c>
    </row>
    <row r="698" spans="1:13">
      <c r="A698" s="4" t="s">
        <v>850</v>
      </c>
      <c r="B698" t="s">
        <v>169</v>
      </c>
      <c r="C698" s="2">
        <v>45966</v>
      </c>
      <c r="D698" s="4" t="s">
        <v>52</v>
      </c>
      <c r="E698" s="4" t="s">
        <v>23</v>
      </c>
      <c r="F698" s="6">
        <v>7</v>
      </c>
      <c r="G698" s="6">
        <v>65000</v>
      </c>
      <c r="H698" s="6">
        <v>455000</v>
      </c>
      <c r="I698" s="6">
        <v>45678.07</v>
      </c>
      <c r="J698" s="6">
        <v>135253.51</v>
      </c>
      <c r="K698" t="s">
        <v>80</v>
      </c>
      <c r="L698" t="s">
        <v>53</v>
      </c>
      <c r="M698" t="s">
        <v>67</v>
      </c>
    </row>
    <row r="699" spans="1:13">
      <c r="A699" s="4" t="s">
        <v>851</v>
      </c>
      <c r="B699" t="s">
        <v>308</v>
      </c>
      <c r="C699" s="2">
        <v>45900</v>
      </c>
      <c r="D699" s="4" t="s">
        <v>56</v>
      </c>
      <c r="E699" s="4" t="s">
        <v>23</v>
      </c>
      <c r="F699" s="6">
        <v>12</v>
      </c>
      <c r="G699" s="6">
        <v>45000</v>
      </c>
      <c r="H699" s="6">
        <v>540000</v>
      </c>
      <c r="I699" s="6">
        <v>30269.65</v>
      </c>
      <c r="J699" s="6">
        <v>176764.2</v>
      </c>
      <c r="K699" t="s">
        <v>71</v>
      </c>
      <c r="L699" t="s">
        <v>29</v>
      </c>
      <c r="M699" t="s">
        <v>67</v>
      </c>
    </row>
    <row r="700" spans="1:13">
      <c r="A700" s="4" t="s">
        <v>852</v>
      </c>
      <c r="B700" t="s">
        <v>169</v>
      </c>
      <c r="C700" s="2">
        <v>45674</v>
      </c>
      <c r="D700" s="4" t="s">
        <v>56</v>
      </c>
      <c r="E700" s="4" t="s">
        <v>23</v>
      </c>
      <c r="F700" s="6">
        <v>6</v>
      </c>
      <c r="G700" s="6">
        <v>30000</v>
      </c>
      <c r="H700" s="6">
        <v>180000</v>
      </c>
      <c r="I700" s="6">
        <v>23473.53</v>
      </c>
      <c r="J700" s="6">
        <v>39158.82</v>
      </c>
      <c r="K700" t="s">
        <v>17</v>
      </c>
      <c r="L700" t="s">
        <v>29</v>
      </c>
      <c r="M700" t="s">
        <v>34</v>
      </c>
    </row>
    <row r="701" spans="1:13">
      <c r="A701" s="4" t="s">
        <v>853</v>
      </c>
      <c r="B701" t="s">
        <v>278</v>
      </c>
      <c r="C701" s="2">
        <v>45980</v>
      </c>
      <c r="D701" s="4" t="s">
        <v>70</v>
      </c>
      <c r="E701" s="4" t="s">
        <v>16</v>
      </c>
      <c r="F701" s="6">
        <v>3</v>
      </c>
      <c r="G701" s="6">
        <v>15000</v>
      </c>
      <c r="H701" s="6">
        <v>45000</v>
      </c>
      <c r="I701" s="6">
        <v>11005.72</v>
      </c>
      <c r="J701" s="6">
        <v>11982.84</v>
      </c>
      <c r="K701" t="s">
        <v>80</v>
      </c>
      <c r="L701" t="s">
        <v>53</v>
      </c>
      <c r="M701" t="s">
        <v>38</v>
      </c>
    </row>
    <row r="702" spans="1:13">
      <c r="A702" s="4" t="s">
        <v>854</v>
      </c>
      <c r="B702" t="s">
        <v>302</v>
      </c>
      <c r="C702" s="2">
        <v>45736</v>
      </c>
      <c r="D702" s="4" t="s">
        <v>106</v>
      </c>
      <c r="E702" s="4" t="s">
        <v>23</v>
      </c>
      <c r="F702" s="6">
        <v>4</v>
      </c>
      <c r="G702" s="6">
        <v>150000</v>
      </c>
      <c r="H702" s="6">
        <v>600000</v>
      </c>
      <c r="I702" s="6">
        <v>95280.67</v>
      </c>
      <c r="J702" s="6">
        <v>218877.32</v>
      </c>
      <c r="K702" t="s">
        <v>71</v>
      </c>
      <c r="L702" t="s">
        <v>29</v>
      </c>
      <c r="M702" t="s">
        <v>25</v>
      </c>
    </row>
    <row r="703" spans="1:13">
      <c r="A703" s="4" t="s">
        <v>855</v>
      </c>
      <c r="B703" t="s">
        <v>73</v>
      </c>
      <c r="C703" s="2">
        <v>45733</v>
      </c>
      <c r="D703" s="4" t="s">
        <v>66</v>
      </c>
      <c r="E703" s="4" t="s">
        <v>49</v>
      </c>
      <c r="F703" s="6">
        <v>4</v>
      </c>
      <c r="G703" s="6">
        <v>90000</v>
      </c>
      <c r="H703" s="6">
        <v>360000</v>
      </c>
      <c r="I703" s="6">
        <v>68322.960000000006</v>
      </c>
      <c r="J703" s="6">
        <v>86708.160000000003</v>
      </c>
      <c r="K703" t="s">
        <v>24</v>
      </c>
      <c r="L703" t="s">
        <v>29</v>
      </c>
      <c r="M703" t="s">
        <v>30</v>
      </c>
    </row>
    <row r="704" spans="1:13">
      <c r="A704" s="4" t="s">
        <v>856</v>
      </c>
      <c r="B704" t="s">
        <v>224</v>
      </c>
      <c r="C704" s="2">
        <v>45697</v>
      </c>
      <c r="D704" s="4" t="s">
        <v>70</v>
      </c>
      <c r="E704" s="4" t="s">
        <v>16</v>
      </c>
      <c r="F704" s="6">
        <v>4</v>
      </c>
      <c r="G704" s="6">
        <v>22000</v>
      </c>
      <c r="H704" s="6">
        <v>88000</v>
      </c>
      <c r="I704" s="6">
        <v>16334.08</v>
      </c>
      <c r="J704" s="6">
        <v>22663.68</v>
      </c>
      <c r="K704" t="s">
        <v>17</v>
      </c>
      <c r="L704" t="s">
        <v>29</v>
      </c>
      <c r="M704" t="s">
        <v>38</v>
      </c>
    </row>
    <row r="705" spans="1:13">
      <c r="A705" s="4" t="s">
        <v>857</v>
      </c>
      <c r="B705" t="s">
        <v>94</v>
      </c>
      <c r="C705" s="2">
        <v>45788</v>
      </c>
      <c r="D705" s="4" t="s">
        <v>63</v>
      </c>
      <c r="E705" s="4" t="s">
        <v>16</v>
      </c>
      <c r="F705" s="6">
        <v>9</v>
      </c>
      <c r="G705" s="6">
        <v>3000</v>
      </c>
      <c r="H705" s="6">
        <v>27000</v>
      </c>
      <c r="I705" s="6">
        <v>1836.72</v>
      </c>
      <c r="J705" s="6">
        <v>10469.52</v>
      </c>
      <c r="K705" t="s">
        <v>24</v>
      </c>
      <c r="L705" t="s">
        <v>29</v>
      </c>
      <c r="M705" t="s">
        <v>25</v>
      </c>
    </row>
    <row r="706" spans="1:13">
      <c r="A706" s="4" t="s">
        <v>858</v>
      </c>
      <c r="B706" t="s">
        <v>103</v>
      </c>
      <c r="C706" s="2">
        <v>45706</v>
      </c>
      <c r="D706" s="4" t="s">
        <v>22</v>
      </c>
      <c r="E706" s="4" t="s">
        <v>23</v>
      </c>
      <c r="F706" s="6">
        <v>7</v>
      </c>
      <c r="G706" s="6">
        <v>280000</v>
      </c>
      <c r="H706" s="6">
        <v>1960000</v>
      </c>
      <c r="I706" s="6">
        <v>211231.01</v>
      </c>
      <c r="J706" s="6">
        <v>481382.93</v>
      </c>
      <c r="K706" t="s">
        <v>24</v>
      </c>
      <c r="L706" t="s">
        <v>18</v>
      </c>
      <c r="M706" t="s">
        <v>38</v>
      </c>
    </row>
    <row r="707" spans="1:13">
      <c r="A707" s="4" t="s">
        <v>859</v>
      </c>
      <c r="B707" t="s">
        <v>65</v>
      </c>
      <c r="C707" s="2">
        <v>45906</v>
      </c>
      <c r="D707" s="4" t="s">
        <v>63</v>
      </c>
      <c r="E707" s="4" t="s">
        <v>16</v>
      </c>
      <c r="F707" s="6">
        <v>8</v>
      </c>
      <c r="G707" s="6">
        <v>5000</v>
      </c>
      <c r="H707" s="6">
        <v>40000</v>
      </c>
      <c r="I707" s="6">
        <v>3639.61</v>
      </c>
      <c r="J707" s="6">
        <v>10883.12</v>
      </c>
      <c r="K707" t="s">
        <v>33</v>
      </c>
      <c r="L707" t="s">
        <v>53</v>
      </c>
      <c r="M707" t="s">
        <v>25</v>
      </c>
    </row>
    <row r="708" spans="1:13">
      <c r="A708" s="4" t="s">
        <v>860</v>
      </c>
      <c r="B708" t="s">
        <v>165</v>
      </c>
      <c r="C708" s="2">
        <v>45921</v>
      </c>
      <c r="D708" s="4" t="s">
        <v>106</v>
      </c>
      <c r="E708" s="4" t="s">
        <v>23</v>
      </c>
      <c r="F708" s="6">
        <v>11</v>
      </c>
      <c r="G708" s="6">
        <v>200000</v>
      </c>
      <c r="H708" s="6">
        <v>2200000</v>
      </c>
      <c r="I708" s="6">
        <v>145724.51999999999</v>
      </c>
      <c r="J708" s="6">
        <v>597030.28</v>
      </c>
      <c r="K708" t="s">
        <v>71</v>
      </c>
      <c r="L708" t="s">
        <v>18</v>
      </c>
      <c r="M708" t="s">
        <v>19</v>
      </c>
    </row>
    <row r="709" spans="1:13">
      <c r="A709" s="4" t="s">
        <v>861</v>
      </c>
      <c r="B709" t="s">
        <v>512</v>
      </c>
      <c r="C709" s="2">
        <v>45929</v>
      </c>
      <c r="D709" s="4" t="s">
        <v>48</v>
      </c>
      <c r="E709" s="4" t="s">
        <v>49</v>
      </c>
      <c r="F709" s="6">
        <v>3</v>
      </c>
      <c r="G709" s="6">
        <v>140000</v>
      </c>
      <c r="H709" s="6">
        <v>420000</v>
      </c>
      <c r="I709" s="6">
        <v>89360.05</v>
      </c>
      <c r="J709" s="6">
        <v>151919.85</v>
      </c>
      <c r="K709" t="s">
        <v>24</v>
      </c>
      <c r="L709" t="s">
        <v>18</v>
      </c>
      <c r="M709" t="s">
        <v>67</v>
      </c>
    </row>
    <row r="710" spans="1:13">
      <c r="A710" s="4" t="s">
        <v>862</v>
      </c>
      <c r="B710" t="s">
        <v>222</v>
      </c>
      <c r="C710" s="2">
        <v>45698</v>
      </c>
      <c r="D710" s="4" t="s">
        <v>15</v>
      </c>
      <c r="E710" s="4" t="s">
        <v>16</v>
      </c>
      <c r="F710" s="6">
        <v>7</v>
      </c>
      <c r="G710" s="6">
        <v>12500</v>
      </c>
      <c r="H710" s="6">
        <v>87500</v>
      </c>
      <c r="I710" s="6">
        <v>9539.07</v>
      </c>
      <c r="J710" s="6">
        <v>20726.509999999998</v>
      </c>
      <c r="K710" t="s">
        <v>17</v>
      </c>
      <c r="L710" t="s">
        <v>53</v>
      </c>
      <c r="M710" t="s">
        <v>34</v>
      </c>
    </row>
    <row r="711" spans="1:13">
      <c r="A711" s="4" t="s">
        <v>863</v>
      </c>
      <c r="B711" t="s">
        <v>159</v>
      </c>
      <c r="C711" s="2">
        <v>45756</v>
      </c>
      <c r="D711" s="4" t="s">
        <v>63</v>
      </c>
      <c r="E711" s="4" t="s">
        <v>16</v>
      </c>
      <c r="F711" s="6">
        <v>8</v>
      </c>
      <c r="G711" s="6">
        <v>3000</v>
      </c>
      <c r="H711" s="6">
        <v>24000</v>
      </c>
      <c r="I711" s="6">
        <v>1899.49</v>
      </c>
      <c r="J711" s="6">
        <v>8804.08</v>
      </c>
      <c r="K711" t="s">
        <v>24</v>
      </c>
      <c r="L711" t="s">
        <v>18</v>
      </c>
      <c r="M711" t="s">
        <v>38</v>
      </c>
    </row>
    <row r="712" spans="1:13">
      <c r="A712" s="4" t="s">
        <v>864</v>
      </c>
      <c r="B712" t="s">
        <v>138</v>
      </c>
      <c r="C712" s="2">
        <v>45765</v>
      </c>
      <c r="D712" s="4" t="s">
        <v>37</v>
      </c>
      <c r="E712" s="4" t="s">
        <v>16</v>
      </c>
      <c r="F712" s="6">
        <v>12</v>
      </c>
      <c r="G712" s="6">
        <v>25000</v>
      </c>
      <c r="H712" s="6">
        <v>300000</v>
      </c>
      <c r="I712" s="6">
        <v>18634.8</v>
      </c>
      <c r="J712" s="6">
        <v>76382.399999999994</v>
      </c>
      <c r="K712" t="s">
        <v>33</v>
      </c>
      <c r="L712" t="s">
        <v>18</v>
      </c>
      <c r="M712" t="s">
        <v>30</v>
      </c>
    </row>
    <row r="713" spans="1:13">
      <c r="A713" s="4" t="s">
        <v>865</v>
      </c>
      <c r="B713" t="s">
        <v>176</v>
      </c>
      <c r="C713" s="2">
        <v>45967</v>
      </c>
      <c r="D713" s="4" t="s">
        <v>52</v>
      </c>
      <c r="E713" s="4" t="s">
        <v>23</v>
      </c>
      <c r="F713" s="6">
        <v>10</v>
      </c>
      <c r="G713" s="6">
        <v>45000</v>
      </c>
      <c r="H713" s="6">
        <v>450000</v>
      </c>
      <c r="I713" s="6">
        <v>35535.1</v>
      </c>
      <c r="J713" s="6">
        <v>94649</v>
      </c>
      <c r="K713" t="s">
        <v>33</v>
      </c>
      <c r="L713" t="s">
        <v>18</v>
      </c>
      <c r="M713" t="s">
        <v>38</v>
      </c>
    </row>
    <row r="714" spans="1:13">
      <c r="A714" s="4" t="s">
        <v>866</v>
      </c>
      <c r="B714" t="s">
        <v>86</v>
      </c>
      <c r="C714" s="2">
        <v>45978</v>
      </c>
      <c r="D714" s="4" t="s">
        <v>384</v>
      </c>
      <c r="E714" s="4" t="s">
        <v>49</v>
      </c>
      <c r="F714" s="6">
        <v>2</v>
      </c>
      <c r="G714" s="6">
        <v>175000</v>
      </c>
      <c r="H714" s="6">
        <v>350000</v>
      </c>
      <c r="I714" s="6">
        <v>137118.93</v>
      </c>
      <c r="J714" s="6">
        <v>75762.14</v>
      </c>
      <c r="K714" t="s">
        <v>80</v>
      </c>
      <c r="L714" t="s">
        <v>29</v>
      </c>
      <c r="M714" t="s">
        <v>67</v>
      </c>
    </row>
    <row r="715" spans="1:13">
      <c r="A715" s="4" t="s">
        <v>867</v>
      </c>
      <c r="B715" t="s">
        <v>149</v>
      </c>
      <c r="C715" s="2">
        <v>45892</v>
      </c>
      <c r="D715" s="4" t="s">
        <v>37</v>
      </c>
      <c r="E715" s="4" t="s">
        <v>16</v>
      </c>
      <c r="F715" s="6">
        <v>2</v>
      </c>
      <c r="G715" s="6">
        <v>18000</v>
      </c>
      <c r="H715" s="6">
        <v>36000</v>
      </c>
      <c r="I715" s="6">
        <v>13337.43</v>
      </c>
      <c r="J715" s="6">
        <v>9325.14</v>
      </c>
      <c r="K715" t="s">
        <v>33</v>
      </c>
      <c r="L715" t="s">
        <v>18</v>
      </c>
      <c r="M715" t="s">
        <v>19</v>
      </c>
    </row>
    <row r="716" spans="1:13">
      <c r="A716" s="4" t="s">
        <v>868</v>
      </c>
      <c r="B716" t="s">
        <v>111</v>
      </c>
      <c r="C716" s="2">
        <v>45908</v>
      </c>
      <c r="D716" s="4" t="s">
        <v>106</v>
      </c>
      <c r="E716" s="4" t="s">
        <v>23</v>
      </c>
      <c r="F716" s="6">
        <v>8</v>
      </c>
      <c r="G716" s="6">
        <v>120000</v>
      </c>
      <c r="H716" s="6">
        <v>960000</v>
      </c>
      <c r="I716" s="6">
        <v>87697.09</v>
      </c>
      <c r="J716" s="6">
        <v>258423.28</v>
      </c>
      <c r="K716" t="s">
        <v>17</v>
      </c>
      <c r="L716" t="s">
        <v>53</v>
      </c>
      <c r="M716" t="s">
        <v>38</v>
      </c>
    </row>
    <row r="717" spans="1:13">
      <c r="A717" s="4" t="s">
        <v>869</v>
      </c>
      <c r="B717" t="s">
        <v>380</v>
      </c>
      <c r="C717" s="2">
        <v>45689</v>
      </c>
      <c r="D717" s="4" t="s">
        <v>106</v>
      </c>
      <c r="E717" s="4" t="s">
        <v>23</v>
      </c>
      <c r="F717" s="6">
        <v>6</v>
      </c>
      <c r="G717" s="6">
        <v>200000</v>
      </c>
      <c r="H717" s="6">
        <v>1200000</v>
      </c>
      <c r="I717" s="6">
        <v>162459.18</v>
      </c>
      <c r="J717" s="6">
        <v>225244.92</v>
      </c>
      <c r="K717" t="s">
        <v>33</v>
      </c>
      <c r="L717" t="s">
        <v>29</v>
      </c>
      <c r="M717" t="s">
        <v>67</v>
      </c>
    </row>
    <row r="718" spans="1:13">
      <c r="A718" s="4" t="s">
        <v>870</v>
      </c>
      <c r="B718" t="s">
        <v>111</v>
      </c>
      <c r="C718" s="2">
        <v>45986</v>
      </c>
      <c r="D718" s="4" t="s">
        <v>56</v>
      </c>
      <c r="E718" s="4" t="s">
        <v>23</v>
      </c>
      <c r="F718" s="6">
        <v>7</v>
      </c>
      <c r="G718" s="6">
        <v>45000</v>
      </c>
      <c r="H718" s="6">
        <v>315000</v>
      </c>
      <c r="I718" s="6">
        <v>35173.19</v>
      </c>
      <c r="J718" s="6">
        <v>68787.67</v>
      </c>
      <c r="K718" t="s">
        <v>24</v>
      </c>
      <c r="L718" t="s">
        <v>29</v>
      </c>
      <c r="M718" t="s">
        <v>30</v>
      </c>
    </row>
    <row r="719" spans="1:13">
      <c r="A719" s="4" t="s">
        <v>871</v>
      </c>
      <c r="B719" t="s">
        <v>42</v>
      </c>
      <c r="C719" s="2">
        <v>45736</v>
      </c>
      <c r="D719" s="4" t="s">
        <v>52</v>
      </c>
      <c r="E719" s="4" t="s">
        <v>23</v>
      </c>
      <c r="F719" s="6">
        <v>12</v>
      </c>
      <c r="G719" s="6">
        <v>65000</v>
      </c>
      <c r="H719" s="6">
        <v>780000</v>
      </c>
      <c r="I719" s="6">
        <v>42640.18</v>
      </c>
      <c r="J719" s="6">
        <v>268317.84000000003</v>
      </c>
      <c r="K719" t="s">
        <v>17</v>
      </c>
      <c r="L719" t="s">
        <v>53</v>
      </c>
      <c r="M719" t="s">
        <v>19</v>
      </c>
    </row>
    <row r="720" spans="1:13">
      <c r="A720" s="4" t="s">
        <v>872</v>
      </c>
      <c r="B720" t="s">
        <v>200</v>
      </c>
      <c r="C720" s="2">
        <v>45945</v>
      </c>
      <c r="D720" s="4" t="s">
        <v>66</v>
      </c>
      <c r="E720" s="4" t="s">
        <v>49</v>
      </c>
      <c r="F720" s="6">
        <v>3</v>
      </c>
      <c r="G720" s="6">
        <v>175000</v>
      </c>
      <c r="H720" s="6">
        <v>525000</v>
      </c>
      <c r="I720" s="6">
        <v>103840.96000000001</v>
      </c>
      <c r="J720" s="6">
        <v>213477.12</v>
      </c>
      <c r="K720" t="s">
        <v>80</v>
      </c>
      <c r="L720" t="s">
        <v>18</v>
      </c>
      <c r="M720" t="s">
        <v>30</v>
      </c>
    </row>
    <row r="721" spans="1:13">
      <c r="A721" s="4" t="s">
        <v>873</v>
      </c>
      <c r="B721" t="s">
        <v>151</v>
      </c>
      <c r="C721" s="2">
        <v>45958</v>
      </c>
      <c r="D721" s="4" t="s">
        <v>22</v>
      </c>
      <c r="E721" s="4" t="s">
        <v>23</v>
      </c>
      <c r="F721" s="6">
        <v>1</v>
      </c>
      <c r="G721" s="6">
        <v>280000</v>
      </c>
      <c r="H721" s="6">
        <v>280000</v>
      </c>
      <c r="I721" s="6">
        <v>217599.51</v>
      </c>
      <c r="J721" s="6">
        <v>62400.49</v>
      </c>
      <c r="K721" t="s">
        <v>17</v>
      </c>
      <c r="L721" t="s">
        <v>53</v>
      </c>
      <c r="M721" t="s">
        <v>30</v>
      </c>
    </row>
    <row r="722" spans="1:13">
      <c r="A722" s="4" t="s">
        <v>874</v>
      </c>
      <c r="B722" t="s">
        <v>245</v>
      </c>
      <c r="C722" s="2">
        <v>45893</v>
      </c>
      <c r="D722" s="4" t="s">
        <v>28</v>
      </c>
      <c r="E722" s="4" t="s">
        <v>23</v>
      </c>
      <c r="F722" s="6">
        <v>12</v>
      </c>
      <c r="G722" s="6">
        <v>300000</v>
      </c>
      <c r="H722" s="6">
        <v>3600000</v>
      </c>
      <c r="I722" s="6">
        <v>208549.57</v>
      </c>
      <c r="J722" s="6">
        <v>1097405.1599999999</v>
      </c>
      <c r="K722" t="s">
        <v>24</v>
      </c>
      <c r="L722" t="s">
        <v>18</v>
      </c>
      <c r="M722" t="s">
        <v>38</v>
      </c>
    </row>
    <row r="723" spans="1:13">
      <c r="A723" s="4" t="s">
        <v>875</v>
      </c>
      <c r="B723" t="s">
        <v>359</v>
      </c>
      <c r="C723" s="2">
        <v>45968</v>
      </c>
      <c r="D723" s="4" t="s">
        <v>56</v>
      </c>
      <c r="E723" s="4" t="s">
        <v>23</v>
      </c>
      <c r="F723" s="6">
        <v>6</v>
      </c>
      <c r="G723" s="6">
        <v>45000</v>
      </c>
      <c r="H723" s="6">
        <v>270000</v>
      </c>
      <c r="I723" s="6">
        <v>33680.959999999999</v>
      </c>
      <c r="J723" s="6">
        <v>67914.240000000005</v>
      </c>
      <c r="K723" t="s">
        <v>33</v>
      </c>
      <c r="L723" t="s">
        <v>18</v>
      </c>
      <c r="M723" t="s">
        <v>34</v>
      </c>
    </row>
    <row r="724" spans="1:13">
      <c r="A724" s="4" t="s">
        <v>876</v>
      </c>
      <c r="B724" t="s">
        <v>138</v>
      </c>
      <c r="C724" s="2">
        <v>46011</v>
      </c>
      <c r="D724" s="4" t="s">
        <v>15</v>
      </c>
      <c r="E724" s="4" t="s">
        <v>16</v>
      </c>
      <c r="F724" s="6">
        <v>9</v>
      </c>
      <c r="G724" s="6">
        <v>12500</v>
      </c>
      <c r="H724" s="6">
        <v>112500</v>
      </c>
      <c r="I724" s="6">
        <v>9258.4599999999991</v>
      </c>
      <c r="J724" s="6">
        <v>29173.86</v>
      </c>
      <c r="K724" t="s">
        <v>17</v>
      </c>
      <c r="L724" t="s">
        <v>29</v>
      </c>
      <c r="M724" t="s">
        <v>34</v>
      </c>
    </row>
    <row r="725" spans="1:13">
      <c r="A725" s="4" t="s">
        <v>877</v>
      </c>
      <c r="B725" t="s">
        <v>200</v>
      </c>
      <c r="C725" s="2">
        <v>45783</v>
      </c>
      <c r="D725" s="4" t="s">
        <v>48</v>
      </c>
      <c r="E725" s="4" t="s">
        <v>49</v>
      </c>
      <c r="F725" s="6">
        <v>3</v>
      </c>
      <c r="G725" s="6">
        <v>100000</v>
      </c>
      <c r="H725" s="6">
        <v>300000</v>
      </c>
      <c r="I725" s="6">
        <v>58515.81</v>
      </c>
      <c r="J725" s="6">
        <v>124452.57</v>
      </c>
      <c r="K725" t="s">
        <v>17</v>
      </c>
      <c r="L725" t="s">
        <v>53</v>
      </c>
      <c r="M725" t="s">
        <v>34</v>
      </c>
    </row>
    <row r="726" spans="1:13">
      <c r="A726" s="4" t="s">
        <v>878</v>
      </c>
      <c r="B726" t="s">
        <v>176</v>
      </c>
      <c r="C726" s="2">
        <v>45900</v>
      </c>
      <c r="D726" s="4" t="s">
        <v>48</v>
      </c>
      <c r="E726" s="4" t="s">
        <v>49</v>
      </c>
      <c r="F726" s="6">
        <v>5</v>
      </c>
      <c r="G726" s="6">
        <v>100000</v>
      </c>
      <c r="H726" s="6">
        <v>500000</v>
      </c>
      <c r="I726" s="6">
        <v>76078.98</v>
      </c>
      <c r="J726" s="6">
        <v>119605.1</v>
      </c>
      <c r="K726" t="s">
        <v>24</v>
      </c>
      <c r="L726" t="s">
        <v>29</v>
      </c>
      <c r="M726" t="s">
        <v>34</v>
      </c>
    </row>
    <row r="727" spans="1:13">
      <c r="A727" s="4" t="s">
        <v>879</v>
      </c>
      <c r="B727" t="s">
        <v>222</v>
      </c>
      <c r="C727" s="2">
        <v>45861</v>
      </c>
      <c r="D727" s="4" t="s">
        <v>63</v>
      </c>
      <c r="E727" s="4" t="s">
        <v>16</v>
      </c>
      <c r="F727" s="6">
        <v>6</v>
      </c>
      <c r="G727" s="6">
        <v>7000</v>
      </c>
      <c r="H727" s="6">
        <v>42000</v>
      </c>
      <c r="I727" s="6">
        <v>4528.2</v>
      </c>
      <c r="J727" s="6">
        <v>14830.8</v>
      </c>
      <c r="K727" t="s">
        <v>17</v>
      </c>
      <c r="L727" t="s">
        <v>18</v>
      </c>
      <c r="M727" t="s">
        <v>50</v>
      </c>
    </row>
    <row r="728" spans="1:13">
      <c r="A728" s="4" t="s">
        <v>880</v>
      </c>
      <c r="B728" t="s">
        <v>365</v>
      </c>
      <c r="C728" s="2">
        <v>45958</v>
      </c>
      <c r="D728" s="4" t="s">
        <v>48</v>
      </c>
      <c r="E728" s="4" t="s">
        <v>49</v>
      </c>
      <c r="F728" s="6">
        <v>9</v>
      </c>
      <c r="G728" s="6">
        <v>140000</v>
      </c>
      <c r="H728" s="6">
        <v>1260000</v>
      </c>
      <c r="I728" s="6">
        <v>105476.35</v>
      </c>
      <c r="J728" s="6">
        <v>310712.84999999998</v>
      </c>
      <c r="K728" t="s">
        <v>24</v>
      </c>
      <c r="L728" t="s">
        <v>53</v>
      </c>
      <c r="M728" t="s">
        <v>19</v>
      </c>
    </row>
    <row r="729" spans="1:13">
      <c r="A729" s="4" t="s">
        <v>881</v>
      </c>
      <c r="B729" t="s">
        <v>627</v>
      </c>
      <c r="C729" s="2">
        <v>45853</v>
      </c>
      <c r="D729" s="4" t="s">
        <v>45</v>
      </c>
      <c r="E729" s="4" t="s">
        <v>23</v>
      </c>
      <c r="F729" s="6">
        <v>7</v>
      </c>
      <c r="G729" s="6">
        <v>520000</v>
      </c>
      <c r="H729" s="6">
        <v>3640000</v>
      </c>
      <c r="I729" s="6">
        <v>420996.41</v>
      </c>
      <c r="J729" s="6">
        <v>693025.13</v>
      </c>
      <c r="K729" t="s">
        <v>24</v>
      </c>
      <c r="L729" t="s">
        <v>18</v>
      </c>
      <c r="M729" t="s">
        <v>67</v>
      </c>
    </row>
    <row r="730" spans="1:13">
      <c r="A730" s="4" t="s">
        <v>882</v>
      </c>
      <c r="B730" t="s">
        <v>512</v>
      </c>
      <c r="C730" s="2">
        <v>45778</v>
      </c>
      <c r="D730" s="4" t="s">
        <v>37</v>
      </c>
      <c r="E730" s="4" t="s">
        <v>16</v>
      </c>
      <c r="F730" s="6">
        <v>12</v>
      </c>
      <c r="G730" s="6">
        <v>12000</v>
      </c>
      <c r="H730" s="6">
        <v>144000</v>
      </c>
      <c r="I730" s="6">
        <v>9473.5</v>
      </c>
      <c r="J730" s="6">
        <v>30318</v>
      </c>
      <c r="K730" t="s">
        <v>71</v>
      </c>
      <c r="L730" t="s">
        <v>53</v>
      </c>
      <c r="M730" t="s">
        <v>34</v>
      </c>
    </row>
    <row r="731" spans="1:13">
      <c r="A731" s="4" t="s">
        <v>883</v>
      </c>
      <c r="B731" t="s">
        <v>96</v>
      </c>
      <c r="C731" s="2">
        <v>45973</v>
      </c>
      <c r="D731" s="4" t="s">
        <v>15</v>
      </c>
      <c r="E731" s="4" t="s">
        <v>16</v>
      </c>
      <c r="F731" s="6">
        <v>3</v>
      </c>
      <c r="G731" s="6">
        <v>8000</v>
      </c>
      <c r="H731" s="6">
        <v>24000</v>
      </c>
      <c r="I731" s="6">
        <v>6201.98</v>
      </c>
      <c r="J731" s="6">
        <v>5394.06</v>
      </c>
      <c r="K731" t="s">
        <v>33</v>
      </c>
      <c r="L731" t="s">
        <v>29</v>
      </c>
      <c r="M731" t="s">
        <v>25</v>
      </c>
    </row>
    <row r="732" spans="1:13">
      <c r="A732" s="4" t="s">
        <v>884</v>
      </c>
      <c r="B732" t="s">
        <v>351</v>
      </c>
      <c r="C732" s="2">
        <v>45952</v>
      </c>
      <c r="D732" s="4" t="s">
        <v>22</v>
      </c>
      <c r="E732" s="4" t="s">
        <v>23</v>
      </c>
      <c r="F732" s="6">
        <v>9</v>
      </c>
      <c r="G732" s="6">
        <v>150000</v>
      </c>
      <c r="H732" s="6">
        <v>1350000</v>
      </c>
      <c r="I732" s="6">
        <v>94995.08</v>
      </c>
      <c r="J732" s="6">
        <v>495044.28</v>
      </c>
      <c r="K732" t="s">
        <v>80</v>
      </c>
      <c r="L732" t="s">
        <v>53</v>
      </c>
      <c r="M732" t="s">
        <v>50</v>
      </c>
    </row>
    <row r="733" spans="1:13">
      <c r="A733" s="4" t="s">
        <v>885</v>
      </c>
      <c r="B733" t="s">
        <v>105</v>
      </c>
      <c r="C733" s="2">
        <v>45929</v>
      </c>
      <c r="D733" s="4" t="s">
        <v>63</v>
      </c>
      <c r="E733" s="4" t="s">
        <v>16</v>
      </c>
      <c r="F733" s="6">
        <v>1</v>
      </c>
      <c r="G733" s="6">
        <v>5000</v>
      </c>
      <c r="H733" s="6">
        <v>5000</v>
      </c>
      <c r="I733" s="6">
        <v>3411.08</v>
      </c>
      <c r="J733" s="6">
        <v>1588.92</v>
      </c>
      <c r="K733" t="s">
        <v>33</v>
      </c>
      <c r="L733" t="s">
        <v>18</v>
      </c>
      <c r="M733" t="s">
        <v>25</v>
      </c>
    </row>
    <row r="734" spans="1:13">
      <c r="A734" s="4" t="s">
        <v>886</v>
      </c>
      <c r="B734" t="s">
        <v>415</v>
      </c>
      <c r="C734" s="2">
        <v>45842</v>
      </c>
      <c r="D734" s="4" t="s">
        <v>70</v>
      </c>
      <c r="E734" s="4" t="s">
        <v>16</v>
      </c>
      <c r="F734" s="6">
        <v>11</v>
      </c>
      <c r="G734" s="6">
        <v>35000</v>
      </c>
      <c r="H734" s="6">
        <v>385000</v>
      </c>
      <c r="I734" s="6">
        <v>22361.79</v>
      </c>
      <c r="J734" s="6">
        <v>139020.31</v>
      </c>
      <c r="K734" t="s">
        <v>33</v>
      </c>
      <c r="L734" t="s">
        <v>29</v>
      </c>
      <c r="M734" t="s">
        <v>34</v>
      </c>
    </row>
    <row r="735" spans="1:13">
      <c r="A735" s="4" t="s">
        <v>887</v>
      </c>
      <c r="B735" t="s">
        <v>121</v>
      </c>
      <c r="C735" s="2">
        <v>46011</v>
      </c>
      <c r="D735" s="4" t="s">
        <v>45</v>
      </c>
      <c r="E735" s="4" t="s">
        <v>23</v>
      </c>
      <c r="F735" s="6">
        <v>11</v>
      </c>
      <c r="G735" s="6">
        <v>450000</v>
      </c>
      <c r="H735" s="6">
        <v>4950000</v>
      </c>
      <c r="I735" s="6">
        <v>288322.15000000002</v>
      </c>
      <c r="J735" s="6">
        <v>1778456.35</v>
      </c>
      <c r="K735" t="s">
        <v>24</v>
      </c>
      <c r="L735" t="s">
        <v>18</v>
      </c>
      <c r="M735" t="s">
        <v>38</v>
      </c>
    </row>
    <row r="736" spans="1:13">
      <c r="A736" s="4" t="s">
        <v>888</v>
      </c>
      <c r="B736" t="s">
        <v>127</v>
      </c>
      <c r="C736" s="2">
        <v>45993</v>
      </c>
      <c r="D736" s="4" t="s">
        <v>15</v>
      </c>
      <c r="E736" s="4" t="s">
        <v>16</v>
      </c>
      <c r="F736" s="6">
        <v>12</v>
      </c>
      <c r="G736" s="6">
        <v>8000</v>
      </c>
      <c r="H736" s="6">
        <v>96000</v>
      </c>
      <c r="I736" s="6">
        <v>6353.91</v>
      </c>
      <c r="J736" s="6">
        <v>19753.080000000002</v>
      </c>
      <c r="K736" t="s">
        <v>17</v>
      </c>
      <c r="L736" t="s">
        <v>29</v>
      </c>
      <c r="M736" t="s">
        <v>50</v>
      </c>
    </row>
    <row r="737" spans="1:13">
      <c r="A737" s="4" t="s">
        <v>889</v>
      </c>
      <c r="B737" t="s">
        <v>60</v>
      </c>
      <c r="C737" s="2">
        <v>45777</v>
      </c>
      <c r="D737" s="4" t="s">
        <v>63</v>
      </c>
      <c r="E737" s="4" t="s">
        <v>16</v>
      </c>
      <c r="F737" s="6">
        <v>1</v>
      </c>
      <c r="G737" s="6">
        <v>7000</v>
      </c>
      <c r="H737" s="6">
        <v>7000</v>
      </c>
      <c r="I737" s="6">
        <v>4407.38</v>
      </c>
      <c r="J737" s="6">
        <v>2592.62</v>
      </c>
      <c r="K737" t="s">
        <v>80</v>
      </c>
      <c r="L737" t="s">
        <v>29</v>
      </c>
      <c r="M737" t="s">
        <v>30</v>
      </c>
    </row>
    <row r="738" spans="1:13">
      <c r="A738" s="4" t="s">
        <v>890</v>
      </c>
      <c r="B738" t="s">
        <v>292</v>
      </c>
      <c r="C738" s="2">
        <v>45931</v>
      </c>
      <c r="D738" s="4" t="s">
        <v>48</v>
      </c>
      <c r="E738" s="4" t="s">
        <v>49</v>
      </c>
      <c r="F738" s="6">
        <v>1</v>
      </c>
      <c r="G738" s="6">
        <v>200000</v>
      </c>
      <c r="H738" s="6">
        <v>200000</v>
      </c>
      <c r="I738" s="6">
        <v>119142.65</v>
      </c>
      <c r="J738" s="6">
        <v>80857.350000000006</v>
      </c>
      <c r="K738" t="s">
        <v>71</v>
      </c>
      <c r="L738" t="s">
        <v>18</v>
      </c>
      <c r="M738" t="s">
        <v>30</v>
      </c>
    </row>
    <row r="739" spans="1:13">
      <c r="A739" s="4" t="s">
        <v>891</v>
      </c>
      <c r="B739" t="s">
        <v>331</v>
      </c>
      <c r="C739" s="2">
        <v>45993</v>
      </c>
      <c r="D739" s="4" t="s">
        <v>45</v>
      </c>
      <c r="E739" s="4" t="s">
        <v>23</v>
      </c>
      <c r="F739" s="6">
        <v>6</v>
      </c>
      <c r="G739" s="6">
        <v>520000</v>
      </c>
      <c r="H739" s="6">
        <v>3120000</v>
      </c>
      <c r="I739" s="6">
        <v>317134.48</v>
      </c>
      <c r="J739" s="6">
        <v>1217193.1200000001</v>
      </c>
      <c r="K739" t="s">
        <v>80</v>
      </c>
      <c r="L739" t="s">
        <v>29</v>
      </c>
      <c r="M739" t="s">
        <v>38</v>
      </c>
    </row>
    <row r="740" spans="1:13">
      <c r="A740" s="4" t="s">
        <v>892</v>
      </c>
      <c r="B740" t="s">
        <v>27</v>
      </c>
      <c r="C740" s="2">
        <v>45796</v>
      </c>
      <c r="D740" s="4" t="s">
        <v>66</v>
      </c>
      <c r="E740" s="4" t="s">
        <v>49</v>
      </c>
      <c r="F740" s="6">
        <v>1</v>
      </c>
      <c r="G740" s="6">
        <v>90000</v>
      </c>
      <c r="H740" s="6">
        <v>90000</v>
      </c>
      <c r="I740" s="6">
        <v>66983.66</v>
      </c>
      <c r="J740" s="6">
        <v>23016.34</v>
      </c>
      <c r="K740" t="s">
        <v>33</v>
      </c>
      <c r="L740" t="s">
        <v>18</v>
      </c>
      <c r="M740" t="s">
        <v>38</v>
      </c>
    </row>
    <row r="741" spans="1:13">
      <c r="A741" s="4" t="s">
        <v>893</v>
      </c>
      <c r="B741" t="s">
        <v>512</v>
      </c>
      <c r="C741" s="2">
        <v>45692</v>
      </c>
      <c r="D741" s="4" t="s">
        <v>106</v>
      </c>
      <c r="E741" s="4" t="s">
        <v>23</v>
      </c>
      <c r="F741" s="6">
        <v>10</v>
      </c>
      <c r="G741" s="6">
        <v>200000</v>
      </c>
      <c r="H741" s="6">
        <v>2000000</v>
      </c>
      <c r="I741" s="6">
        <v>138812.88</v>
      </c>
      <c r="J741" s="6">
        <v>611871.19999999995</v>
      </c>
      <c r="K741" t="s">
        <v>24</v>
      </c>
      <c r="L741" t="s">
        <v>53</v>
      </c>
      <c r="M741" t="s">
        <v>38</v>
      </c>
    </row>
    <row r="742" spans="1:13">
      <c r="A742" s="4" t="s">
        <v>894</v>
      </c>
      <c r="B742" t="s">
        <v>27</v>
      </c>
      <c r="C742" s="2">
        <v>45832</v>
      </c>
      <c r="D742" s="4" t="s">
        <v>106</v>
      </c>
      <c r="E742" s="4" t="s">
        <v>23</v>
      </c>
      <c r="F742" s="6">
        <v>5</v>
      </c>
      <c r="G742" s="6">
        <v>200000</v>
      </c>
      <c r="H742" s="6">
        <v>1000000</v>
      </c>
      <c r="I742" s="6">
        <v>149656.82</v>
      </c>
      <c r="J742" s="6">
        <v>251715.9</v>
      </c>
      <c r="K742" t="s">
        <v>33</v>
      </c>
      <c r="L742" t="s">
        <v>53</v>
      </c>
      <c r="M742" t="s">
        <v>25</v>
      </c>
    </row>
    <row r="743" spans="1:13">
      <c r="A743" s="4" t="s">
        <v>895</v>
      </c>
      <c r="B743" t="s">
        <v>308</v>
      </c>
      <c r="C743" s="2">
        <v>45878</v>
      </c>
      <c r="D743" s="4" t="s">
        <v>66</v>
      </c>
      <c r="E743" s="4" t="s">
        <v>49</v>
      </c>
      <c r="F743" s="6">
        <v>1</v>
      </c>
      <c r="G743" s="6">
        <v>90000</v>
      </c>
      <c r="H743" s="6">
        <v>90000</v>
      </c>
      <c r="I743" s="6">
        <v>54528.86</v>
      </c>
      <c r="J743" s="6">
        <v>35471.14</v>
      </c>
      <c r="K743" t="s">
        <v>33</v>
      </c>
      <c r="L743" t="s">
        <v>18</v>
      </c>
      <c r="M743" t="s">
        <v>67</v>
      </c>
    </row>
    <row r="744" spans="1:13">
      <c r="A744" s="4" t="s">
        <v>896</v>
      </c>
      <c r="B744" t="s">
        <v>213</v>
      </c>
      <c r="C744" s="2">
        <v>45984</v>
      </c>
      <c r="D744" s="4" t="s">
        <v>66</v>
      </c>
      <c r="E744" s="4" t="s">
        <v>49</v>
      </c>
      <c r="F744" s="6">
        <v>3</v>
      </c>
      <c r="G744" s="6">
        <v>90000</v>
      </c>
      <c r="H744" s="6">
        <v>270000</v>
      </c>
      <c r="I744" s="6">
        <v>64679.56</v>
      </c>
      <c r="J744" s="6">
        <v>75961.320000000007</v>
      </c>
      <c r="K744" t="s">
        <v>17</v>
      </c>
      <c r="L744" t="s">
        <v>18</v>
      </c>
      <c r="M744" t="s">
        <v>19</v>
      </c>
    </row>
    <row r="745" spans="1:13">
      <c r="A745" s="4" t="s">
        <v>897</v>
      </c>
      <c r="B745" t="s">
        <v>127</v>
      </c>
      <c r="C745" s="2">
        <v>45964</v>
      </c>
      <c r="D745" s="4" t="s">
        <v>28</v>
      </c>
      <c r="E745" s="4" t="s">
        <v>23</v>
      </c>
      <c r="F745" s="6">
        <v>2</v>
      </c>
      <c r="G745" s="6">
        <v>300000</v>
      </c>
      <c r="H745" s="6">
        <v>600000</v>
      </c>
      <c r="I745" s="6">
        <v>232612.8</v>
      </c>
      <c r="J745" s="6">
        <v>134774.39999999999</v>
      </c>
      <c r="K745" t="s">
        <v>80</v>
      </c>
      <c r="L745" t="s">
        <v>29</v>
      </c>
      <c r="M745" t="s">
        <v>30</v>
      </c>
    </row>
    <row r="746" spans="1:13">
      <c r="A746" s="4" t="s">
        <v>898</v>
      </c>
      <c r="B746" t="s">
        <v>215</v>
      </c>
      <c r="C746" s="2">
        <v>45947</v>
      </c>
      <c r="D746" s="4" t="s">
        <v>56</v>
      </c>
      <c r="E746" s="4" t="s">
        <v>23</v>
      </c>
      <c r="F746" s="6">
        <v>4</v>
      </c>
      <c r="G746" s="6">
        <v>70000</v>
      </c>
      <c r="H746" s="6">
        <v>280000</v>
      </c>
      <c r="I746" s="6">
        <v>55268.81</v>
      </c>
      <c r="J746" s="6">
        <v>58924.76</v>
      </c>
      <c r="K746" t="s">
        <v>33</v>
      </c>
      <c r="L746" t="s">
        <v>18</v>
      </c>
      <c r="M746" t="s">
        <v>38</v>
      </c>
    </row>
    <row r="747" spans="1:13">
      <c r="A747" s="4" t="s">
        <v>899</v>
      </c>
      <c r="B747" t="s">
        <v>450</v>
      </c>
      <c r="C747" s="2">
        <v>45695</v>
      </c>
      <c r="D747" s="4" t="s">
        <v>15</v>
      </c>
      <c r="E747" s="4" t="s">
        <v>16</v>
      </c>
      <c r="F747" s="6">
        <v>8</v>
      </c>
      <c r="G747" s="6">
        <f>Cleaned_Data4[[#This Row],[Sales_Amount]]/Cleaned_Data4[[#This Row],[Quantity]]</f>
        <v>10000</v>
      </c>
      <c r="H747" s="6">
        <v>80000</v>
      </c>
      <c r="I747" s="6">
        <v>8170.36</v>
      </c>
      <c r="J747" s="6">
        <v>14637.12</v>
      </c>
      <c r="K747" t="s">
        <v>80</v>
      </c>
      <c r="L747" t="s">
        <v>18</v>
      </c>
      <c r="M747" t="s">
        <v>19</v>
      </c>
    </row>
    <row r="748" spans="1:13">
      <c r="A748" s="4" t="s">
        <v>900</v>
      </c>
      <c r="B748" t="s">
        <v>450</v>
      </c>
      <c r="C748" s="2">
        <v>45673</v>
      </c>
      <c r="D748" s="4" t="s">
        <v>15</v>
      </c>
      <c r="E748" s="4" t="s">
        <v>16</v>
      </c>
      <c r="F748" s="6">
        <v>6</v>
      </c>
      <c r="G748" s="6">
        <v>10000</v>
      </c>
      <c r="H748" s="6">
        <v>60000</v>
      </c>
      <c r="I748" s="6">
        <v>8106.87</v>
      </c>
      <c r="J748" s="6">
        <v>11358.78</v>
      </c>
      <c r="K748" t="s">
        <v>80</v>
      </c>
      <c r="L748" t="s">
        <v>18</v>
      </c>
      <c r="M748" t="s">
        <v>34</v>
      </c>
    </row>
    <row r="749" spans="1:13">
      <c r="A749" s="4" t="s">
        <v>901</v>
      </c>
      <c r="B749" t="s">
        <v>117</v>
      </c>
      <c r="C749" s="2">
        <v>45802</v>
      </c>
      <c r="D749" s="4" t="s">
        <v>45</v>
      </c>
      <c r="E749" s="4" t="s">
        <v>23</v>
      </c>
      <c r="F749" s="6">
        <v>12</v>
      </c>
      <c r="G749" s="6">
        <v>520000</v>
      </c>
      <c r="H749" s="6">
        <v>6240000</v>
      </c>
      <c r="I749" s="6">
        <v>406117</v>
      </c>
      <c r="J749" s="6">
        <v>1366596</v>
      </c>
      <c r="K749" t="s">
        <v>80</v>
      </c>
      <c r="L749" t="s">
        <v>53</v>
      </c>
      <c r="M749" t="s">
        <v>30</v>
      </c>
    </row>
    <row r="750" spans="1:13">
      <c r="A750" s="4" t="s">
        <v>902</v>
      </c>
      <c r="B750" t="s">
        <v>14</v>
      </c>
      <c r="C750" s="2">
        <v>45780</v>
      </c>
      <c r="D750" s="4" t="s">
        <v>66</v>
      </c>
      <c r="E750" s="4" t="s">
        <v>49</v>
      </c>
      <c r="F750" s="6">
        <v>6</v>
      </c>
      <c r="G750" s="6">
        <v>120000</v>
      </c>
      <c r="H750" s="6">
        <v>720000</v>
      </c>
      <c r="I750" s="6">
        <v>88634.17</v>
      </c>
      <c r="J750" s="6">
        <v>188194.98</v>
      </c>
      <c r="K750" t="s">
        <v>33</v>
      </c>
      <c r="L750" t="s">
        <v>29</v>
      </c>
      <c r="M750" t="s">
        <v>38</v>
      </c>
    </row>
    <row r="751" spans="1:13">
      <c r="A751" s="4" t="s">
        <v>903</v>
      </c>
      <c r="B751" t="s">
        <v>154</v>
      </c>
      <c r="C751" s="2">
        <v>45804</v>
      </c>
      <c r="D751" s="4" t="s">
        <v>37</v>
      </c>
      <c r="E751" s="4" t="s">
        <v>16</v>
      </c>
      <c r="F751" s="6">
        <v>5</v>
      </c>
      <c r="G751" s="6">
        <v>25000</v>
      </c>
      <c r="H751" s="6">
        <v>125000</v>
      </c>
      <c r="I751" s="6">
        <v>16414.900000000001</v>
      </c>
      <c r="J751" s="6">
        <v>42925.5</v>
      </c>
      <c r="K751" t="s">
        <v>17</v>
      </c>
      <c r="L751" t="s">
        <v>29</v>
      </c>
      <c r="M751" t="s">
        <v>50</v>
      </c>
    </row>
    <row r="752" spans="1:13">
      <c r="A752" s="4" t="s">
        <v>904</v>
      </c>
      <c r="B752" t="s">
        <v>96</v>
      </c>
      <c r="C752" s="2">
        <v>45799</v>
      </c>
      <c r="D752" s="4" t="s">
        <v>28</v>
      </c>
      <c r="E752" s="4" t="s">
        <v>23</v>
      </c>
      <c r="F752" s="6">
        <v>1</v>
      </c>
      <c r="G752" s="6">
        <v>220000</v>
      </c>
      <c r="H752" s="6">
        <v>220000</v>
      </c>
      <c r="I752" s="6">
        <v>148117.57</v>
      </c>
      <c r="J752" s="6">
        <v>71882.429999999993</v>
      </c>
      <c r="K752" t="s">
        <v>24</v>
      </c>
      <c r="L752" t="s">
        <v>29</v>
      </c>
      <c r="M752" t="s">
        <v>50</v>
      </c>
    </row>
    <row r="753" spans="1:13">
      <c r="A753" s="4" t="s">
        <v>905</v>
      </c>
      <c r="B753" t="s">
        <v>60</v>
      </c>
      <c r="C753" s="2">
        <v>45793</v>
      </c>
      <c r="D753" s="4" t="s">
        <v>15</v>
      </c>
      <c r="E753" s="4" t="s">
        <v>16</v>
      </c>
      <c r="F753" s="6">
        <v>12</v>
      </c>
      <c r="G753" s="6">
        <v>10000</v>
      </c>
      <c r="H753" s="6">
        <v>120000</v>
      </c>
      <c r="I753" s="6">
        <v>7633.26</v>
      </c>
      <c r="J753" s="6">
        <v>28400.880000000001</v>
      </c>
      <c r="K753" t="s">
        <v>17</v>
      </c>
      <c r="L753" t="s">
        <v>29</v>
      </c>
      <c r="M753" t="s">
        <v>67</v>
      </c>
    </row>
    <row r="754" spans="1:13">
      <c r="A754" s="4" t="s">
        <v>906</v>
      </c>
      <c r="B754" t="s">
        <v>109</v>
      </c>
      <c r="C754" s="2">
        <v>45928</v>
      </c>
      <c r="D754" s="4" t="s">
        <v>106</v>
      </c>
      <c r="E754" s="4" t="s">
        <v>23</v>
      </c>
      <c r="F754" s="6">
        <v>10</v>
      </c>
      <c r="G754" s="6">
        <v>120000</v>
      </c>
      <c r="H754" s="6">
        <v>1200000</v>
      </c>
      <c r="I754" s="6">
        <v>89768.5</v>
      </c>
      <c r="J754" s="6">
        <v>302315</v>
      </c>
      <c r="K754" t="s">
        <v>71</v>
      </c>
      <c r="L754" t="s">
        <v>18</v>
      </c>
      <c r="M754" t="s">
        <v>25</v>
      </c>
    </row>
    <row r="755" spans="1:13">
      <c r="A755" s="4" t="s">
        <v>907</v>
      </c>
      <c r="B755" t="s">
        <v>90</v>
      </c>
      <c r="C755" s="2">
        <v>45726</v>
      </c>
      <c r="D755" s="4" t="s">
        <v>63</v>
      </c>
      <c r="E755" s="4" t="s">
        <v>16</v>
      </c>
      <c r="F755" s="6">
        <v>1</v>
      </c>
      <c r="G755" s="6">
        <v>5000</v>
      </c>
      <c r="H755" s="6">
        <v>5000</v>
      </c>
      <c r="I755" s="6">
        <v>3555.22</v>
      </c>
      <c r="J755" s="6">
        <v>1444.78</v>
      </c>
      <c r="K755" t="s">
        <v>71</v>
      </c>
      <c r="L755" t="s">
        <v>18</v>
      </c>
      <c r="M755" t="s">
        <v>30</v>
      </c>
    </row>
    <row r="756" spans="1:13">
      <c r="A756" s="4" t="s">
        <v>908</v>
      </c>
      <c r="B756" t="s">
        <v>129</v>
      </c>
      <c r="C756" s="2" t="s">
        <v>355</v>
      </c>
      <c r="D756" s="4" t="s">
        <v>15</v>
      </c>
      <c r="E756" s="4" t="s">
        <v>16</v>
      </c>
      <c r="F756" s="6">
        <v>7</v>
      </c>
      <c r="G756" s="6">
        <v>10000</v>
      </c>
      <c r="H756" s="6">
        <v>70000</v>
      </c>
      <c r="I756" s="6">
        <v>6247.15</v>
      </c>
      <c r="J756" s="6">
        <v>26269.95</v>
      </c>
      <c r="K756" t="s">
        <v>24</v>
      </c>
      <c r="L756" t="s">
        <v>53</v>
      </c>
      <c r="M756" t="s">
        <v>67</v>
      </c>
    </row>
    <row r="757" spans="1:13">
      <c r="A757" s="4" t="s">
        <v>909</v>
      </c>
      <c r="B757" t="s">
        <v>415</v>
      </c>
      <c r="C757" s="2">
        <v>45921</v>
      </c>
      <c r="D757" s="4" t="s">
        <v>106</v>
      </c>
      <c r="E757" s="4" t="s">
        <v>23</v>
      </c>
      <c r="F757" s="6">
        <v>11</v>
      </c>
      <c r="G757" s="6">
        <v>120000</v>
      </c>
      <c r="H757" s="6">
        <v>1320000</v>
      </c>
      <c r="I757" s="6">
        <v>73504.960000000006</v>
      </c>
      <c r="J757" s="6">
        <v>511445.44</v>
      </c>
      <c r="K757" t="s">
        <v>80</v>
      </c>
      <c r="L757" t="s">
        <v>53</v>
      </c>
      <c r="M757" t="s">
        <v>19</v>
      </c>
    </row>
    <row r="758" spans="1:13">
      <c r="A758" s="4" t="s">
        <v>910</v>
      </c>
      <c r="B758" t="s">
        <v>55</v>
      </c>
      <c r="C758" s="2">
        <v>45804</v>
      </c>
      <c r="D758" s="4" t="s">
        <v>48</v>
      </c>
      <c r="E758" s="4" t="s">
        <v>49</v>
      </c>
      <c r="F758" s="6">
        <v>1</v>
      </c>
      <c r="G758" s="6">
        <v>200000</v>
      </c>
      <c r="H758" s="6">
        <v>200000</v>
      </c>
      <c r="I758" s="6">
        <v>155031.54999999999</v>
      </c>
      <c r="J758" s="6">
        <v>44968.45</v>
      </c>
      <c r="K758" t="s">
        <v>80</v>
      </c>
      <c r="L758" t="s">
        <v>53</v>
      </c>
      <c r="M758" t="s">
        <v>67</v>
      </c>
    </row>
    <row r="759" spans="1:13">
      <c r="A759" s="4" t="s">
        <v>911</v>
      </c>
      <c r="B759" t="s">
        <v>316</v>
      </c>
      <c r="C759" s="2">
        <v>45673</v>
      </c>
      <c r="D759" s="4" t="s">
        <v>52</v>
      </c>
      <c r="E759" s="4" t="s">
        <v>23</v>
      </c>
      <c r="F759" s="6">
        <v>1</v>
      </c>
      <c r="G759" s="6">
        <v>65000</v>
      </c>
      <c r="H759" s="6">
        <v>65000</v>
      </c>
      <c r="I759" s="6">
        <v>50917.86</v>
      </c>
      <c r="J759" s="6">
        <v>14082.14</v>
      </c>
      <c r="K759" t="s">
        <v>17</v>
      </c>
      <c r="L759" t="s">
        <v>29</v>
      </c>
      <c r="M759" t="s">
        <v>38</v>
      </c>
    </row>
    <row r="760" spans="1:13">
      <c r="A760" s="4" t="s">
        <v>912</v>
      </c>
      <c r="B760" t="s">
        <v>21</v>
      </c>
      <c r="C760" s="2">
        <v>45853</v>
      </c>
      <c r="D760" s="4" t="s">
        <v>52</v>
      </c>
      <c r="E760" s="4" t="s">
        <v>23</v>
      </c>
      <c r="F760" s="6">
        <v>1</v>
      </c>
      <c r="G760" s="6">
        <v>65000</v>
      </c>
      <c r="H760" s="6">
        <v>65000</v>
      </c>
      <c r="I760" s="6">
        <v>45880.38</v>
      </c>
      <c r="J760" s="6">
        <v>19119.62</v>
      </c>
      <c r="K760" t="s">
        <v>33</v>
      </c>
      <c r="L760" t="s">
        <v>18</v>
      </c>
      <c r="M760" t="s">
        <v>50</v>
      </c>
    </row>
    <row r="761" spans="1:13">
      <c r="A761" s="4" t="s">
        <v>913</v>
      </c>
      <c r="B761" t="s">
        <v>161</v>
      </c>
      <c r="C761" s="2">
        <v>45729</v>
      </c>
      <c r="D761" s="4" t="s">
        <v>28</v>
      </c>
      <c r="E761" s="4" t="s">
        <v>23</v>
      </c>
      <c r="F761" s="6">
        <v>2</v>
      </c>
      <c r="G761" s="6">
        <v>180000</v>
      </c>
      <c r="H761" s="6">
        <v>360000</v>
      </c>
      <c r="I761" s="6">
        <v>107064.11</v>
      </c>
      <c r="J761" s="6">
        <v>145871.78</v>
      </c>
      <c r="K761" t="s">
        <v>71</v>
      </c>
      <c r="L761" t="s">
        <v>53</v>
      </c>
      <c r="M761" t="s">
        <v>50</v>
      </c>
    </row>
    <row r="762" spans="1:13">
      <c r="A762" s="4" t="s">
        <v>914</v>
      </c>
      <c r="B762" t="s">
        <v>113</v>
      </c>
      <c r="C762" s="2">
        <v>45776</v>
      </c>
      <c r="D762" s="4" t="s">
        <v>45</v>
      </c>
      <c r="E762" s="4" t="s">
        <v>23</v>
      </c>
      <c r="F762" s="6">
        <v>5</v>
      </c>
      <c r="G762" s="6">
        <v>650000</v>
      </c>
      <c r="H762" s="6">
        <v>3250000</v>
      </c>
      <c r="I762" s="6">
        <v>421104.07</v>
      </c>
      <c r="J762" s="6">
        <v>1144479.6499999999</v>
      </c>
      <c r="K762" t="s">
        <v>17</v>
      </c>
      <c r="L762" t="s">
        <v>18</v>
      </c>
      <c r="M762" t="s">
        <v>50</v>
      </c>
    </row>
    <row r="763" spans="1:13">
      <c r="A763" s="4" t="s">
        <v>915</v>
      </c>
      <c r="B763" t="s">
        <v>125</v>
      </c>
      <c r="C763" s="2">
        <v>45910</v>
      </c>
      <c r="D763" s="4" t="s">
        <v>48</v>
      </c>
      <c r="E763" s="4" t="s">
        <v>49</v>
      </c>
      <c r="F763" s="6">
        <v>8</v>
      </c>
      <c r="G763" s="6">
        <v>100000</v>
      </c>
      <c r="H763" s="6">
        <v>800000</v>
      </c>
      <c r="I763" s="6">
        <v>65045.51</v>
      </c>
      <c r="J763" s="6">
        <v>279635.92</v>
      </c>
      <c r="K763" t="s">
        <v>80</v>
      </c>
      <c r="L763" t="s">
        <v>18</v>
      </c>
      <c r="M763" t="s">
        <v>19</v>
      </c>
    </row>
    <row r="764" spans="1:13">
      <c r="A764" s="4" t="s">
        <v>916</v>
      </c>
      <c r="B764" t="s">
        <v>261</v>
      </c>
      <c r="C764" s="2">
        <v>46009</v>
      </c>
      <c r="D764" s="4" t="s">
        <v>45</v>
      </c>
      <c r="E764" s="4" t="s">
        <v>23</v>
      </c>
      <c r="F764" s="6">
        <v>10</v>
      </c>
      <c r="G764" s="6">
        <v>450000</v>
      </c>
      <c r="H764" s="6">
        <v>4500000</v>
      </c>
      <c r="I764" s="6">
        <v>296995.28999999998</v>
      </c>
      <c r="J764" s="6">
        <v>1530047.1</v>
      </c>
      <c r="K764" t="s">
        <v>17</v>
      </c>
      <c r="L764" t="s">
        <v>18</v>
      </c>
      <c r="M764" t="s">
        <v>34</v>
      </c>
    </row>
    <row r="765" spans="1:13">
      <c r="A765" s="4" t="s">
        <v>917</v>
      </c>
      <c r="B765" t="s">
        <v>918</v>
      </c>
      <c r="C765" s="2">
        <v>45950</v>
      </c>
      <c r="D765" s="4" t="s">
        <v>22</v>
      </c>
      <c r="E765" s="4" t="s">
        <v>23</v>
      </c>
      <c r="F765" s="6">
        <v>7</v>
      </c>
      <c r="G765" s="6">
        <v>150000</v>
      </c>
      <c r="H765" s="6">
        <v>1050000</v>
      </c>
      <c r="I765" s="6">
        <v>89848.03</v>
      </c>
      <c r="J765" s="6">
        <v>421063.79</v>
      </c>
      <c r="K765" t="s">
        <v>71</v>
      </c>
      <c r="L765" t="s">
        <v>29</v>
      </c>
      <c r="M765" t="s">
        <v>19</v>
      </c>
    </row>
    <row r="766" spans="1:13">
      <c r="A766" s="4" t="s">
        <v>919</v>
      </c>
      <c r="B766" t="s">
        <v>79</v>
      </c>
      <c r="C766" s="2">
        <v>45859</v>
      </c>
      <c r="D766" s="4" t="s">
        <v>15</v>
      </c>
      <c r="E766" s="4" t="s">
        <v>16</v>
      </c>
      <c r="F766" s="6">
        <v>7</v>
      </c>
      <c r="G766" s="6">
        <v>10000</v>
      </c>
      <c r="H766" s="6">
        <v>70000</v>
      </c>
      <c r="I766" s="6">
        <v>6882.13</v>
      </c>
      <c r="J766" s="6">
        <v>21825.09</v>
      </c>
      <c r="K766" t="s">
        <v>80</v>
      </c>
      <c r="L766" t="s">
        <v>18</v>
      </c>
      <c r="M766" t="s">
        <v>38</v>
      </c>
    </row>
    <row r="767" spans="1:13">
      <c r="A767" s="4" t="s">
        <v>920</v>
      </c>
      <c r="B767" t="s">
        <v>200</v>
      </c>
      <c r="C767" s="2">
        <v>45843</v>
      </c>
      <c r="D767" s="4" t="s">
        <v>56</v>
      </c>
      <c r="E767" s="4" t="s">
        <v>23</v>
      </c>
      <c r="F767" s="6">
        <v>10</v>
      </c>
      <c r="G767" s="6">
        <v>45000</v>
      </c>
      <c r="H767" s="6">
        <v>450000</v>
      </c>
      <c r="I767" s="6">
        <v>32208.21</v>
      </c>
      <c r="J767" s="6">
        <v>127917.9</v>
      </c>
      <c r="K767" t="s">
        <v>80</v>
      </c>
      <c r="L767" t="s">
        <v>18</v>
      </c>
      <c r="M767" t="s">
        <v>34</v>
      </c>
    </row>
    <row r="768" spans="1:13">
      <c r="A768" s="4" t="s">
        <v>921</v>
      </c>
      <c r="B768" t="s">
        <v>105</v>
      </c>
      <c r="C768" s="2">
        <v>46012</v>
      </c>
      <c r="D768" s="4" t="s">
        <v>66</v>
      </c>
      <c r="E768" s="4" t="s">
        <v>49</v>
      </c>
      <c r="F768" s="6">
        <v>3</v>
      </c>
      <c r="G768" s="6">
        <v>90000</v>
      </c>
      <c r="H768" s="6">
        <v>270000</v>
      </c>
      <c r="I768" s="6">
        <v>55290.7</v>
      </c>
      <c r="J768" s="6">
        <v>104127.9</v>
      </c>
      <c r="K768" t="s">
        <v>33</v>
      </c>
      <c r="L768" t="s">
        <v>29</v>
      </c>
      <c r="M768" t="s">
        <v>30</v>
      </c>
    </row>
    <row r="769" spans="1:13">
      <c r="A769" s="4" t="s">
        <v>922</v>
      </c>
      <c r="B769" t="s">
        <v>219</v>
      </c>
      <c r="C769" s="2">
        <v>45742</v>
      </c>
      <c r="D769" s="4" t="s">
        <v>106</v>
      </c>
      <c r="E769" s="4" t="s">
        <v>23</v>
      </c>
      <c r="F769" s="6">
        <v>3</v>
      </c>
      <c r="G769" s="6">
        <v>150000</v>
      </c>
      <c r="H769" s="6">
        <v>450000</v>
      </c>
      <c r="I769" s="6">
        <v>120650.56</v>
      </c>
      <c r="J769" s="6">
        <v>88048.320000000007</v>
      </c>
      <c r="K769" t="s">
        <v>24</v>
      </c>
      <c r="L769" t="s">
        <v>18</v>
      </c>
      <c r="M769" t="s">
        <v>19</v>
      </c>
    </row>
    <row r="770" spans="1:13">
      <c r="A770" s="4" t="s">
        <v>923</v>
      </c>
      <c r="B770" t="s">
        <v>90</v>
      </c>
      <c r="C770" s="2">
        <v>45952</v>
      </c>
      <c r="D770" s="4" t="s">
        <v>70</v>
      </c>
      <c r="E770" s="4" t="s">
        <v>16</v>
      </c>
      <c r="F770" s="6">
        <v>2</v>
      </c>
      <c r="G770" s="6">
        <v>15000</v>
      </c>
      <c r="H770" s="6">
        <v>30000</v>
      </c>
      <c r="I770" s="6">
        <v>12200.57</v>
      </c>
      <c r="J770" s="6">
        <v>5598.86</v>
      </c>
      <c r="K770" t="s">
        <v>17</v>
      </c>
      <c r="L770" t="s">
        <v>29</v>
      </c>
      <c r="M770" t="s">
        <v>30</v>
      </c>
    </row>
    <row r="771" spans="1:13">
      <c r="A771" s="4" t="s">
        <v>924</v>
      </c>
      <c r="B771" t="s">
        <v>42</v>
      </c>
      <c r="C771" s="2">
        <v>45718</v>
      </c>
      <c r="D771" s="4" t="s">
        <v>63</v>
      </c>
      <c r="E771" s="4" t="s">
        <v>16</v>
      </c>
      <c r="F771" s="6">
        <v>8</v>
      </c>
      <c r="G771" s="6">
        <v>7000</v>
      </c>
      <c r="H771" s="6">
        <v>56000</v>
      </c>
      <c r="I771" s="6">
        <v>5157.67</v>
      </c>
      <c r="J771" s="6">
        <v>14738.64</v>
      </c>
      <c r="K771" t="s">
        <v>80</v>
      </c>
      <c r="L771" t="s">
        <v>29</v>
      </c>
      <c r="M771" t="s">
        <v>67</v>
      </c>
    </row>
    <row r="772" spans="1:13">
      <c r="A772" s="4" t="s">
        <v>925</v>
      </c>
      <c r="B772" t="s">
        <v>222</v>
      </c>
      <c r="C772" s="2">
        <v>45979</v>
      </c>
      <c r="D772" s="4" t="s">
        <v>37</v>
      </c>
      <c r="E772" s="4" t="s">
        <v>16</v>
      </c>
      <c r="F772" s="6">
        <v>5</v>
      </c>
      <c r="G772" s="6">
        <v>18000</v>
      </c>
      <c r="H772" s="6">
        <v>90000</v>
      </c>
      <c r="I772" s="6">
        <v>12927.5</v>
      </c>
      <c r="J772" s="6">
        <v>25362.5</v>
      </c>
      <c r="K772" t="s">
        <v>71</v>
      </c>
      <c r="L772" t="s">
        <v>53</v>
      </c>
      <c r="M772" t="s">
        <v>25</v>
      </c>
    </row>
    <row r="773" spans="1:13">
      <c r="A773" s="4" t="s">
        <v>926</v>
      </c>
      <c r="B773" t="s">
        <v>224</v>
      </c>
      <c r="C773" s="2">
        <v>46013</v>
      </c>
      <c r="D773" s="4" t="s">
        <v>52</v>
      </c>
      <c r="E773" s="4" t="s">
        <v>23</v>
      </c>
      <c r="F773" s="6">
        <v>7</v>
      </c>
      <c r="G773" s="6">
        <v>45000</v>
      </c>
      <c r="H773" s="6">
        <v>315000</v>
      </c>
      <c r="I773" s="6">
        <v>30374.560000000001</v>
      </c>
      <c r="J773" s="6">
        <v>102378.08</v>
      </c>
      <c r="K773" t="s">
        <v>71</v>
      </c>
      <c r="L773" t="s">
        <v>53</v>
      </c>
      <c r="M773" t="s">
        <v>38</v>
      </c>
    </row>
    <row r="774" spans="1:13">
      <c r="A774" s="4" t="s">
        <v>927</v>
      </c>
      <c r="B774" t="s">
        <v>21</v>
      </c>
      <c r="C774" s="2">
        <v>45922</v>
      </c>
      <c r="D774" s="4" t="s">
        <v>106</v>
      </c>
      <c r="E774" s="4" t="s">
        <v>23</v>
      </c>
      <c r="F774" s="6">
        <v>6</v>
      </c>
      <c r="G774" s="6">
        <v>150000</v>
      </c>
      <c r="H774" s="6">
        <v>900000</v>
      </c>
      <c r="I774" s="6">
        <v>119136.19</v>
      </c>
      <c r="J774" s="6">
        <v>185182.86</v>
      </c>
      <c r="K774" t="s">
        <v>80</v>
      </c>
      <c r="L774" t="s">
        <v>53</v>
      </c>
      <c r="M774" t="s">
        <v>25</v>
      </c>
    </row>
    <row r="775" spans="1:13">
      <c r="A775" s="4" t="s">
        <v>928</v>
      </c>
      <c r="B775" t="s">
        <v>219</v>
      </c>
      <c r="C775" s="2">
        <v>45794</v>
      </c>
      <c r="D775" s="4" t="s">
        <v>37</v>
      </c>
      <c r="E775" s="4" t="s">
        <v>16</v>
      </c>
      <c r="F775" s="6">
        <v>9</v>
      </c>
      <c r="G775" s="6">
        <v>25000</v>
      </c>
      <c r="H775" s="6">
        <v>225000</v>
      </c>
      <c r="I775" s="6">
        <v>14835.45</v>
      </c>
      <c r="J775" s="6">
        <v>91480.95</v>
      </c>
      <c r="K775" t="s">
        <v>33</v>
      </c>
      <c r="L775" t="s">
        <v>29</v>
      </c>
      <c r="M775" t="s">
        <v>19</v>
      </c>
    </row>
    <row r="776" spans="1:13">
      <c r="A776" s="4" t="s">
        <v>929</v>
      </c>
      <c r="B776" t="s">
        <v>294</v>
      </c>
      <c r="C776" s="2">
        <v>45966</v>
      </c>
      <c r="D776" s="4" t="s">
        <v>28</v>
      </c>
      <c r="E776" s="4" t="s">
        <v>23</v>
      </c>
      <c r="F776" s="6">
        <v>4</v>
      </c>
      <c r="G776" s="6">
        <v>300000</v>
      </c>
      <c r="H776" s="6">
        <v>1200000</v>
      </c>
      <c r="I776" s="6">
        <v>238884.59</v>
      </c>
      <c r="J776" s="6">
        <v>244461.64</v>
      </c>
      <c r="K776" t="s">
        <v>24</v>
      </c>
      <c r="L776" t="s">
        <v>53</v>
      </c>
      <c r="M776" t="s">
        <v>67</v>
      </c>
    </row>
    <row r="777" spans="1:13">
      <c r="A777" s="4" t="s">
        <v>930</v>
      </c>
      <c r="B777" t="s">
        <v>245</v>
      </c>
      <c r="C777" s="2">
        <v>45876</v>
      </c>
      <c r="D777" s="4" t="s">
        <v>45</v>
      </c>
      <c r="E777" s="4" t="s">
        <v>23</v>
      </c>
      <c r="F777" s="6">
        <v>2</v>
      </c>
      <c r="G777" s="6">
        <v>520000</v>
      </c>
      <c r="H777" s="6">
        <v>1040000</v>
      </c>
      <c r="I777" s="6">
        <v>404422.38</v>
      </c>
      <c r="J777" s="6">
        <v>231155.24</v>
      </c>
      <c r="K777" t="s">
        <v>33</v>
      </c>
      <c r="L777" t="s">
        <v>29</v>
      </c>
      <c r="M777" t="s">
        <v>50</v>
      </c>
    </row>
    <row r="778" spans="1:13">
      <c r="A778" s="4" t="s">
        <v>931</v>
      </c>
      <c r="B778" t="s">
        <v>84</v>
      </c>
      <c r="C778" s="2">
        <v>45959</v>
      </c>
      <c r="D778" s="4" t="s">
        <v>52</v>
      </c>
      <c r="E778" s="4" t="s">
        <v>23</v>
      </c>
      <c r="F778" s="6">
        <v>2</v>
      </c>
      <c r="G778" s="6">
        <v>65000</v>
      </c>
      <c r="H778" s="6">
        <v>130000</v>
      </c>
      <c r="I778" s="6">
        <v>44835.25</v>
      </c>
      <c r="J778" s="6">
        <v>40329.5</v>
      </c>
      <c r="K778" t="s">
        <v>33</v>
      </c>
      <c r="L778" t="s">
        <v>53</v>
      </c>
      <c r="M778" t="s">
        <v>30</v>
      </c>
    </row>
    <row r="779" spans="1:13">
      <c r="A779" s="4" t="s">
        <v>932</v>
      </c>
      <c r="B779" t="s">
        <v>73</v>
      </c>
      <c r="C779" s="2">
        <v>45698</v>
      </c>
      <c r="D779" s="4" t="s">
        <v>106</v>
      </c>
      <c r="E779" s="4" t="s">
        <v>23</v>
      </c>
      <c r="F779" s="6">
        <v>7</v>
      </c>
      <c r="G779" s="6">
        <v>200000</v>
      </c>
      <c r="H779" s="6">
        <v>1400000</v>
      </c>
      <c r="I779" s="6">
        <v>127498.97</v>
      </c>
      <c r="J779" s="6">
        <v>507507.21</v>
      </c>
      <c r="K779" t="s">
        <v>33</v>
      </c>
      <c r="L779" t="s">
        <v>18</v>
      </c>
      <c r="M779" t="s">
        <v>38</v>
      </c>
    </row>
    <row r="780" spans="1:13">
      <c r="A780" s="4" t="s">
        <v>933</v>
      </c>
      <c r="B780" t="s">
        <v>316</v>
      </c>
      <c r="C780" s="2">
        <v>45810</v>
      </c>
      <c r="D780" s="4" t="s">
        <v>45</v>
      </c>
      <c r="E780" s="4" t="s">
        <v>23</v>
      </c>
      <c r="F780" s="6">
        <v>8</v>
      </c>
      <c r="G780" s="6">
        <v>650000</v>
      </c>
      <c r="H780" s="6">
        <v>5200000</v>
      </c>
      <c r="I780" s="6">
        <v>489178.66</v>
      </c>
      <c r="J780" s="6">
        <v>1286570.72</v>
      </c>
      <c r="K780" t="s">
        <v>33</v>
      </c>
      <c r="L780" t="s">
        <v>29</v>
      </c>
      <c r="M780" t="s">
        <v>34</v>
      </c>
    </row>
    <row r="781" spans="1:13">
      <c r="A781" s="4" t="s">
        <v>934</v>
      </c>
      <c r="B781" t="s">
        <v>211</v>
      </c>
      <c r="C781" s="2">
        <v>45953</v>
      </c>
      <c r="D781" s="4" t="s">
        <v>15</v>
      </c>
      <c r="E781" s="4" t="s">
        <v>16</v>
      </c>
      <c r="F781" s="6">
        <v>3</v>
      </c>
      <c r="G781" s="6">
        <v>10000</v>
      </c>
      <c r="H781" s="6">
        <v>30000</v>
      </c>
      <c r="I781" s="6">
        <v>8064.05</v>
      </c>
      <c r="J781" s="6">
        <v>5807.85</v>
      </c>
      <c r="K781" t="s">
        <v>80</v>
      </c>
      <c r="L781" t="s">
        <v>18</v>
      </c>
      <c r="M781" t="s">
        <v>34</v>
      </c>
    </row>
    <row r="782" spans="1:13">
      <c r="A782" s="4" t="s">
        <v>935</v>
      </c>
      <c r="B782" t="s">
        <v>69</v>
      </c>
      <c r="C782" s="2">
        <v>45811</v>
      </c>
      <c r="D782" s="4" t="s">
        <v>63</v>
      </c>
      <c r="E782" s="4" t="s">
        <v>16</v>
      </c>
      <c r="F782" s="6">
        <v>5</v>
      </c>
      <c r="G782" s="6">
        <v>7000</v>
      </c>
      <c r="H782" s="6">
        <v>35000</v>
      </c>
      <c r="I782" s="6">
        <v>5378.45</v>
      </c>
      <c r="J782" s="6">
        <v>8107.75</v>
      </c>
      <c r="K782" t="s">
        <v>33</v>
      </c>
      <c r="L782" t="s">
        <v>18</v>
      </c>
      <c r="M782" t="s">
        <v>50</v>
      </c>
    </row>
    <row r="783" spans="1:13">
      <c r="A783" s="4" t="s">
        <v>936</v>
      </c>
      <c r="B783" t="s">
        <v>154</v>
      </c>
      <c r="C783" s="2">
        <v>45915</v>
      </c>
      <c r="D783" s="4" t="s">
        <v>15</v>
      </c>
      <c r="E783" s="4" t="s">
        <v>16</v>
      </c>
      <c r="F783" s="6">
        <v>10</v>
      </c>
      <c r="G783" s="6">
        <v>10000</v>
      </c>
      <c r="H783" s="6">
        <v>100000</v>
      </c>
      <c r="I783" s="6">
        <v>7887.28</v>
      </c>
      <c r="J783" s="6">
        <v>21127.200000000001</v>
      </c>
      <c r="K783" t="s">
        <v>17</v>
      </c>
      <c r="L783" t="s">
        <v>18</v>
      </c>
      <c r="M783" t="s">
        <v>30</v>
      </c>
    </row>
    <row r="784" spans="1:13">
      <c r="A784" s="4" t="s">
        <v>937</v>
      </c>
      <c r="B784" t="s">
        <v>359</v>
      </c>
      <c r="C784" s="2">
        <v>45957</v>
      </c>
      <c r="D784" s="4" t="s">
        <v>106</v>
      </c>
      <c r="E784" s="4" t="s">
        <v>23</v>
      </c>
      <c r="F784" s="6">
        <v>5</v>
      </c>
      <c r="G784" s="6">
        <v>150000</v>
      </c>
      <c r="H784" s="6">
        <v>750000</v>
      </c>
      <c r="I784" s="6">
        <v>117643.7</v>
      </c>
      <c r="J784" s="6">
        <v>161781.5</v>
      </c>
      <c r="K784" t="s">
        <v>17</v>
      </c>
      <c r="L784" t="s">
        <v>18</v>
      </c>
      <c r="M784" t="s">
        <v>25</v>
      </c>
    </row>
    <row r="785" spans="1:13">
      <c r="A785" s="4" t="s">
        <v>938</v>
      </c>
      <c r="B785" t="s">
        <v>55</v>
      </c>
      <c r="C785" s="2">
        <v>45915</v>
      </c>
      <c r="D785" s="4" t="s">
        <v>63</v>
      </c>
      <c r="E785" s="4" t="s">
        <v>16</v>
      </c>
      <c r="F785" s="6">
        <v>12</v>
      </c>
      <c r="G785" s="6">
        <v>3000</v>
      </c>
      <c r="H785" s="6">
        <v>36000</v>
      </c>
      <c r="I785" s="6">
        <v>1850.3</v>
      </c>
      <c r="J785" s="6">
        <v>13796.4</v>
      </c>
      <c r="K785" t="s">
        <v>80</v>
      </c>
      <c r="L785" t="s">
        <v>29</v>
      </c>
      <c r="M785" t="s">
        <v>34</v>
      </c>
    </row>
    <row r="786" spans="1:13">
      <c r="A786" s="4" t="s">
        <v>939</v>
      </c>
      <c r="B786" t="s">
        <v>196</v>
      </c>
      <c r="C786" s="2">
        <v>45662</v>
      </c>
      <c r="D786" s="4" t="s">
        <v>52</v>
      </c>
      <c r="E786" s="4" t="s">
        <v>23</v>
      </c>
      <c r="F786" s="6">
        <v>2</v>
      </c>
      <c r="G786" s="6">
        <v>85000</v>
      </c>
      <c r="H786" s="6">
        <v>170000</v>
      </c>
      <c r="I786" s="6">
        <v>56358.55</v>
      </c>
      <c r="J786" s="6">
        <v>57282.9</v>
      </c>
      <c r="K786" t="s">
        <v>33</v>
      </c>
      <c r="L786" t="s">
        <v>18</v>
      </c>
      <c r="M786" t="s">
        <v>50</v>
      </c>
    </row>
    <row r="787" spans="1:13">
      <c r="A787" s="4" t="s">
        <v>940</v>
      </c>
      <c r="B787" t="s">
        <v>278</v>
      </c>
      <c r="C787" s="2">
        <v>45680</v>
      </c>
      <c r="D787" s="4" t="s">
        <v>15</v>
      </c>
      <c r="E787" s="4" t="s">
        <v>16</v>
      </c>
      <c r="F787" s="6">
        <v>1</v>
      </c>
      <c r="G787" s="6">
        <v>8000</v>
      </c>
      <c r="H787" s="6">
        <v>8000</v>
      </c>
      <c r="I787" s="6">
        <v>5238.3999999999996</v>
      </c>
      <c r="J787" s="6">
        <v>2761.6</v>
      </c>
      <c r="K787" t="s">
        <v>33</v>
      </c>
      <c r="L787" t="s">
        <v>18</v>
      </c>
      <c r="M787" t="s">
        <v>34</v>
      </c>
    </row>
    <row r="788" spans="1:13">
      <c r="A788" s="4" t="s">
        <v>941</v>
      </c>
      <c r="B788" t="s">
        <v>208</v>
      </c>
      <c r="C788" s="2">
        <v>45882</v>
      </c>
      <c r="D788" s="4" t="s">
        <v>70</v>
      </c>
      <c r="E788" s="4" t="s">
        <v>16</v>
      </c>
      <c r="F788" s="6">
        <v>9</v>
      </c>
      <c r="G788" s="6">
        <v>35000</v>
      </c>
      <c r="H788" s="6">
        <v>315000</v>
      </c>
      <c r="I788" s="6">
        <v>25982.76</v>
      </c>
      <c r="J788" s="6">
        <v>81155.16</v>
      </c>
      <c r="K788" t="s">
        <v>71</v>
      </c>
      <c r="L788" t="s">
        <v>29</v>
      </c>
      <c r="M788" t="s">
        <v>30</v>
      </c>
    </row>
    <row r="789" spans="1:13">
      <c r="A789" s="4" t="s">
        <v>942</v>
      </c>
      <c r="B789" t="s">
        <v>205</v>
      </c>
      <c r="C789" s="2">
        <v>45746</v>
      </c>
      <c r="D789" s="4" t="s">
        <v>66</v>
      </c>
      <c r="E789" s="4" t="s">
        <v>49</v>
      </c>
      <c r="F789" s="6">
        <v>8</v>
      </c>
      <c r="G789" s="6">
        <v>175000</v>
      </c>
      <c r="H789" s="6">
        <v>1400000</v>
      </c>
      <c r="I789" s="6">
        <v>131019.61</v>
      </c>
      <c r="J789" s="6">
        <v>351843.12</v>
      </c>
      <c r="K789" t="s">
        <v>33</v>
      </c>
      <c r="L789" t="s">
        <v>18</v>
      </c>
      <c r="M789" t="s">
        <v>19</v>
      </c>
    </row>
    <row r="790" spans="1:13">
      <c r="A790" s="4" t="s">
        <v>943</v>
      </c>
      <c r="B790" t="s">
        <v>60</v>
      </c>
      <c r="C790" s="2">
        <v>45882</v>
      </c>
      <c r="D790" s="4" t="s">
        <v>66</v>
      </c>
      <c r="E790" s="4" t="s">
        <v>49</v>
      </c>
      <c r="F790" s="6">
        <v>9</v>
      </c>
      <c r="G790" s="6">
        <v>175000</v>
      </c>
      <c r="H790" s="6">
        <v>1575000</v>
      </c>
      <c r="I790" s="6">
        <v>127111.83</v>
      </c>
      <c r="J790" s="6">
        <v>430993.53</v>
      </c>
      <c r="K790" t="s">
        <v>24</v>
      </c>
      <c r="L790" t="s">
        <v>29</v>
      </c>
      <c r="M790" t="s">
        <v>30</v>
      </c>
    </row>
    <row r="791" spans="1:13">
      <c r="A791" s="4" t="s">
        <v>944</v>
      </c>
      <c r="B791" t="s">
        <v>44</v>
      </c>
      <c r="C791" s="2">
        <v>45731</v>
      </c>
      <c r="D791" s="4" t="s">
        <v>37</v>
      </c>
      <c r="E791" s="4" t="s">
        <v>16</v>
      </c>
      <c r="F791" s="6">
        <v>10</v>
      </c>
      <c r="G791" s="6">
        <v>18000</v>
      </c>
      <c r="H791" s="6">
        <v>180000</v>
      </c>
      <c r="I791" s="6">
        <v>14383.56</v>
      </c>
      <c r="J791" s="6">
        <v>36164.400000000001</v>
      </c>
      <c r="K791" t="s">
        <v>71</v>
      </c>
      <c r="L791" t="s">
        <v>18</v>
      </c>
      <c r="M791" t="s">
        <v>38</v>
      </c>
    </row>
    <row r="792" spans="1:13">
      <c r="A792" s="4" t="s">
        <v>945</v>
      </c>
      <c r="B792" t="s">
        <v>125</v>
      </c>
      <c r="C792" s="2">
        <v>45798</v>
      </c>
      <c r="D792" s="4" t="s">
        <v>70</v>
      </c>
      <c r="E792" s="4" t="s">
        <v>16</v>
      </c>
      <c r="F792" s="6">
        <v>2</v>
      </c>
      <c r="G792" s="6">
        <v>35000</v>
      </c>
      <c r="H792" s="6">
        <v>70000</v>
      </c>
      <c r="I792" s="6">
        <v>24653.68</v>
      </c>
      <c r="J792" s="6">
        <v>20692.64</v>
      </c>
      <c r="K792" t="s">
        <v>24</v>
      </c>
      <c r="L792" t="s">
        <v>18</v>
      </c>
      <c r="M792" t="s">
        <v>34</v>
      </c>
    </row>
    <row r="793" spans="1:13">
      <c r="A793" s="4" t="s">
        <v>946</v>
      </c>
      <c r="B793" t="s">
        <v>149</v>
      </c>
      <c r="C793" s="2">
        <v>45968</v>
      </c>
      <c r="D793" s="4" t="s">
        <v>48</v>
      </c>
      <c r="E793" s="4" t="s">
        <v>49</v>
      </c>
      <c r="F793" s="6">
        <v>6</v>
      </c>
      <c r="G793" s="6">
        <v>140000</v>
      </c>
      <c r="H793" s="6">
        <v>840000</v>
      </c>
      <c r="I793" s="6">
        <v>100986.81</v>
      </c>
      <c r="J793" s="6">
        <v>234079.14</v>
      </c>
      <c r="K793" t="s">
        <v>17</v>
      </c>
      <c r="L793" t="s">
        <v>29</v>
      </c>
      <c r="M793" t="s">
        <v>30</v>
      </c>
    </row>
    <row r="794" spans="1:13">
      <c r="A794" s="4" t="s">
        <v>947</v>
      </c>
      <c r="B794" t="s">
        <v>245</v>
      </c>
      <c r="C794" s="2">
        <v>45836</v>
      </c>
      <c r="D794" s="4" t="s">
        <v>63</v>
      </c>
      <c r="E794" s="4" t="s">
        <v>16</v>
      </c>
      <c r="F794" s="6">
        <v>12</v>
      </c>
      <c r="G794" s="6">
        <v>7000</v>
      </c>
      <c r="H794" s="6">
        <v>84000</v>
      </c>
      <c r="I794" s="6">
        <v>4105.1899999999996</v>
      </c>
      <c r="J794" s="6">
        <v>34737.72</v>
      </c>
      <c r="K794" t="s">
        <v>24</v>
      </c>
      <c r="L794" t="s">
        <v>29</v>
      </c>
      <c r="M794" t="s">
        <v>67</v>
      </c>
    </row>
    <row r="795" spans="1:13">
      <c r="A795" s="4" t="s">
        <v>948</v>
      </c>
      <c r="B795" t="s">
        <v>58</v>
      </c>
      <c r="C795" s="2">
        <v>45829</v>
      </c>
      <c r="D795" s="4" t="s">
        <v>106</v>
      </c>
      <c r="E795" s="4" t="s">
        <v>23</v>
      </c>
      <c r="F795" s="6">
        <v>5</v>
      </c>
      <c r="G795" s="6">
        <v>150000</v>
      </c>
      <c r="H795" s="6">
        <v>750000</v>
      </c>
      <c r="I795" s="6">
        <v>115883.39</v>
      </c>
      <c r="J795" s="6">
        <v>170583.05</v>
      </c>
      <c r="K795" t="s">
        <v>33</v>
      </c>
      <c r="L795" t="s">
        <v>29</v>
      </c>
      <c r="M795" t="s">
        <v>30</v>
      </c>
    </row>
    <row r="796" spans="1:13">
      <c r="A796" s="4" t="s">
        <v>949</v>
      </c>
      <c r="B796" t="s">
        <v>391</v>
      </c>
      <c r="C796" s="2">
        <v>45873</v>
      </c>
      <c r="D796" s="4" t="s">
        <v>63</v>
      </c>
      <c r="E796" s="4" t="s">
        <v>16</v>
      </c>
      <c r="F796" s="6">
        <v>6</v>
      </c>
      <c r="G796" s="6">
        <v>5000</v>
      </c>
      <c r="H796" s="6">
        <v>30000</v>
      </c>
      <c r="I796" s="6">
        <v>3247.05</v>
      </c>
      <c r="J796" s="6">
        <v>10517.7</v>
      </c>
      <c r="K796" t="s">
        <v>33</v>
      </c>
      <c r="L796" t="s">
        <v>18</v>
      </c>
      <c r="M796" t="s">
        <v>19</v>
      </c>
    </row>
    <row r="797" spans="1:13">
      <c r="A797" s="4" t="s">
        <v>950</v>
      </c>
      <c r="B797" t="s">
        <v>77</v>
      </c>
      <c r="C797" s="2">
        <v>45986</v>
      </c>
      <c r="D797" s="4" t="s">
        <v>15</v>
      </c>
      <c r="E797" s="4" t="s">
        <v>16</v>
      </c>
      <c r="F797" s="6">
        <v>7</v>
      </c>
      <c r="G797" s="6">
        <v>10000</v>
      </c>
      <c r="H797" s="6">
        <v>70000</v>
      </c>
      <c r="I797" s="6">
        <v>7944.6</v>
      </c>
      <c r="J797" s="6">
        <v>14387.8</v>
      </c>
      <c r="K797" t="s">
        <v>33</v>
      </c>
      <c r="L797" t="s">
        <v>29</v>
      </c>
      <c r="M797" t="s">
        <v>25</v>
      </c>
    </row>
    <row r="798" spans="1:13">
      <c r="A798" s="4" t="s">
        <v>951</v>
      </c>
      <c r="B798" t="s">
        <v>187</v>
      </c>
      <c r="C798" s="2">
        <v>45772</v>
      </c>
      <c r="D798" s="4" t="s">
        <v>45</v>
      </c>
      <c r="E798" s="4" t="s">
        <v>23</v>
      </c>
      <c r="F798" s="6">
        <v>1</v>
      </c>
      <c r="G798" s="6">
        <v>520000</v>
      </c>
      <c r="H798" s="6">
        <v>520000</v>
      </c>
      <c r="I798" s="6">
        <v>416215.26</v>
      </c>
      <c r="J798" s="6">
        <v>103784.74</v>
      </c>
      <c r="K798" t="s">
        <v>80</v>
      </c>
      <c r="L798" t="s">
        <v>29</v>
      </c>
      <c r="M798" t="s">
        <v>67</v>
      </c>
    </row>
    <row r="799" spans="1:13">
      <c r="A799" s="4" t="s">
        <v>952</v>
      </c>
      <c r="B799" t="s">
        <v>44</v>
      </c>
      <c r="C799" s="2">
        <v>45779</v>
      </c>
      <c r="D799" s="4" t="s">
        <v>15</v>
      </c>
      <c r="E799" s="4" t="s">
        <v>16</v>
      </c>
      <c r="F799" s="6">
        <v>5</v>
      </c>
      <c r="G799" s="6">
        <v>10000</v>
      </c>
      <c r="H799" s="6">
        <v>50000</v>
      </c>
      <c r="I799" s="6">
        <v>7842.19</v>
      </c>
      <c r="J799" s="6">
        <v>10789.05</v>
      </c>
      <c r="K799" t="s">
        <v>24</v>
      </c>
      <c r="L799" t="s">
        <v>29</v>
      </c>
      <c r="M799" t="s">
        <v>30</v>
      </c>
    </row>
    <row r="800" spans="1:13">
      <c r="A800" s="4" t="s">
        <v>953</v>
      </c>
      <c r="B800" t="s">
        <v>417</v>
      </c>
      <c r="C800" s="2">
        <v>45883</v>
      </c>
      <c r="D800" s="4" t="s">
        <v>63</v>
      </c>
      <c r="E800" s="4" t="s">
        <v>16</v>
      </c>
      <c r="F800" s="6">
        <v>6</v>
      </c>
      <c r="G800" s="6">
        <v>5000</v>
      </c>
      <c r="H800" s="6">
        <v>30000</v>
      </c>
      <c r="I800" s="6">
        <v>3878.57</v>
      </c>
      <c r="J800" s="6">
        <v>6728.58</v>
      </c>
      <c r="K800" t="s">
        <v>33</v>
      </c>
      <c r="L800" t="s">
        <v>53</v>
      </c>
      <c r="M800" t="s">
        <v>19</v>
      </c>
    </row>
    <row r="801" spans="1:13">
      <c r="A801" s="4" t="s">
        <v>954</v>
      </c>
      <c r="B801" t="s">
        <v>129</v>
      </c>
      <c r="C801" s="2">
        <v>45846</v>
      </c>
      <c r="D801" s="4" t="s">
        <v>106</v>
      </c>
      <c r="E801" s="4" t="s">
        <v>23</v>
      </c>
      <c r="F801" s="6">
        <v>3</v>
      </c>
      <c r="G801" s="6">
        <v>200000</v>
      </c>
      <c r="H801" s="6">
        <v>600000</v>
      </c>
      <c r="I801" s="6">
        <v>145147.88</v>
      </c>
      <c r="J801" s="6">
        <v>164556.35999999999</v>
      </c>
      <c r="K801" t="s">
        <v>17</v>
      </c>
      <c r="L801" t="s">
        <v>53</v>
      </c>
      <c r="M801" t="s">
        <v>19</v>
      </c>
    </row>
    <row r="802" spans="1:13">
      <c r="A802" s="4" t="s">
        <v>955</v>
      </c>
      <c r="B802" t="s">
        <v>113</v>
      </c>
      <c r="C802" s="2">
        <v>45793</v>
      </c>
      <c r="D802" s="4" t="s">
        <v>48</v>
      </c>
      <c r="E802" s="4" t="s">
        <v>49</v>
      </c>
      <c r="F802" s="6">
        <v>3</v>
      </c>
      <c r="G802" s="6">
        <v>200000</v>
      </c>
      <c r="H802" s="6">
        <v>600000</v>
      </c>
      <c r="I802" s="6">
        <v>148908.38</v>
      </c>
      <c r="J802" s="6">
        <v>153274.85999999999</v>
      </c>
      <c r="K802" t="s">
        <v>33</v>
      </c>
      <c r="L802" t="s">
        <v>18</v>
      </c>
      <c r="M802" t="s">
        <v>67</v>
      </c>
    </row>
    <row r="803" spans="1:13">
      <c r="A803" s="4" t="s">
        <v>956</v>
      </c>
      <c r="B803" t="s">
        <v>127</v>
      </c>
      <c r="C803" s="2">
        <v>46019</v>
      </c>
      <c r="D803" s="4" t="s">
        <v>56</v>
      </c>
      <c r="E803" s="4" t="s">
        <v>23</v>
      </c>
      <c r="F803" s="6">
        <v>9</v>
      </c>
      <c r="G803" s="6">
        <v>30000</v>
      </c>
      <c r="H803" s="6">
        <v>270000</v>
      </c>
      <c r="I803" s="6">
        <v>20496.46</v>
      </c>
      <c r="J803" s="6">
        <v>85531.86</v>
      </c>
      <c r="K803" t="s">
        <v>71</v>
      </c>
      <c r="L803" t="s">
        <v>18</v>
      </c>
      <c r="M803" t="s">
        <v>25</v>
      </c>
    </row>
    <row r="804" spans="1:13">
      <c r="A804" s="4" t="s">
        <v>957</v>
      </c>
      <c r="B804" t="s">
        <v>84</v>
      </c>
      <c r="C804" s="2">
        <v>45702</v>
      </c>
      <c r="D804" s="4" t="s">
        <v>37</v>
      </c>
      <c r="E804" s="4" t="s">
        <v>16</v>
      </c>
      <c r="F804" s="6">
        <v>2</v>
      </c>
      <c r="G804" s="6">
        <v>12000</v>
      </c>
      <c r="H804" s="6">
        <v>24000</v>
      </c>
      <c r="I804" s="6">
        <v>9127.0400000000009</v>
      </c>
      <c r="J804" s="6">
        <f>H804 - (F804 * I804)</f>
        <v>5745.9199999999983</v>
      </c>
      <c r="K804" t="s">
        <v>80</v>
      </c>
      <c r="L804" t="s">
        <v>29</v>
      </c>
      <c r="M804" t="s">
        <v>30</v>
      </c>
    </row>
    <row r="805" spans="1:13">
      <c r="A805" s="4" t="s">
        <v>958</v>
      </c>
      <c r="B805" t="s">
        <v>180</v>
      </c>
      <c r="C805" s="2">
        <v>45714</v>
      </c>
      <c r="D805" s="4" t="s">
        <v>384</v>
      </c>
      <c r="E805" s="4" t="s">
        <v>49</v>
      </c>
      <c r="F805" s="6">
        <v>10</v>
      </c>
      <c r="G805" s="6">
        <v>175000</v>
      </c>
      <c r="H805" s="6">
        <v>1750000</v>
      </c>
      <c r="I805" s="6">
        <v>122103.26</v>
      </c>
      <c r="J805" s="6">
        <v>528967.4</v>
      </c>
      <c r="K805" t="s">
        <v>33</v>
      </c>
      <c r="L805" t="s">
        <v>18</v>
      </c>
      <c r="M805" t="s">
        <v>30</v>
      </c>
    </row>
    <row r="806" spans="1:13">
      <c r="A806" s="4" t="s">
        <v>959</v>
      </c>
      <c r="B806" t="s">
        <v>224</v>
      </c>
      <c r="C806" s="2">
        <v>45718</v>
      </c>
      <c r="D806" s="4" t="s">
        <v>56</v>
      </c>
      <c r="E806" s="4" t="s">
        <v>23</v>
      </c>
      <c r="F806" s="6">
        <v>11</v>
      </c>
      <c r="G806" s="6">
        <v>30000</v>
      </c>
      <c r="H806" s="6">
        <v>330000</v>
      </c>
      <c r="I806" s="6">
        <v>20385.22</v>
      </c>
      <c r="J806" s="6">
        <v>105762.58</v>
      </c>
      <c r="K806" t="s">
        <v>17</v>
      </c>
      <c r="L806" t="s">
        <v>29</v>
      </c>
      <c r="M806" t="s">
        <v>38</v>
      </c>
    </row>
    <row r="807" spans="1:13">
      <c r="A807" s="4" t="s">
        <v>960</v>
      </c>
      <c r="B807" t="s">
        <v>161</v>
      </c>
      <c r="C807" s="2">
        <v>45923</v>
      </c>
      <c r="D807" s="4" t="s">
        <v>66</v>
      </c>
      <c r="E807" s="4" t="s">
        <v>49</v>
      </c>
      <c r="F807" s="6">
        <v>7</v>
      </c>
      <c r="G807" s="6">
        <v>175000</v>
      </c>
      <c r="H807" s="6">
        <v>1225000</v>
      </c>
      <c r="I807" s="6">
        <v>106445.96</v>
      </c>
      <c r="J807" s="6">
        <v>479878.28</v>
      </c>
      <c r="K807" t="s">
        <v>24</v>
      </c>
      <c r="L807" t="s">
        <v>18</v>
      </c>
      <c r="M807" t="s">
        <v>30</v>
      </c>
    </row>
    <row r="808" spans="1:13">
      <c r="A808" s="4" t="s">
        <v>961</v>
      </c>
      <c r="B808" t="s">
        <v>219</v>
      </c>
      <c r="C808" s="2">
        <v>45796</v>
      </c>
      <c r="D808" s="4" t="s">
        <v>70</v>
      </c>
      <c r="E808" s="4" t="s">
        <v>16</v>
      </c>
      <c r="F808" s="6">
        <v>3</v>
      </c>
      <c r="G808" s="6">
        <v>15000</v>
      </c>
      <c r="H808" s="6">
        <v>45000</v>
      </c>
      <c r="I808" s="6">
        <v>9847.9599999999991</v>
      </c>
      <c r="J808" s="6">
        <v>15456.12</v>
      </c>
      <c r="K808" t="s">
        <v>17</v>
      </c>
      <c r="L808" t="s">
        <v>29</v>
      </c>
      <c r="M808" t="s">
        <v>67</v>
      </c>
    </row>
    <row r="809" spans="1:13">
      <c r="A809" s="4" t="s">
        <v>962</v>
      </c>
      <c r="B809" t="s">
        <v>65</v>
      </c>
      <c r="C809" s="2">
        <v>45665</v>
      </c>
      <c r="D809" s="4" t="s">
        <v>15</v>
      </c>
      <c r="E809" s="4" t="s">
        <v>16</v>
      </c>
      <c r="F809" s="6">
        <v>8</v>
      </c>
      <c r="G809" s="6">
        <v>8000</v>
      </c>
      <c r="H809" s="6">
        <v>64000</v>
      </c>
      <c r="I809" s="6">
        <v>5296.47</v>
      </c>
      <c r="J809" s="6">
        <v>21628.240000000002</v>
      </c>
      <c r="K809" t="s">
        <v>80</v>
      </c>
      <c r="L809" t="s">
        <v>29</v>
      </c>
      <c r="M809" t="s">
        <v>30</v>
      </c>
    </row>
    <row r="810" spans="1:13">
      <c r="A810" s="4" t="s">
        <v>963</v>
      </c>
      <c r="B810" t="s">
        <v>159</v>
      </c>
      <c r="C810" s="2">
        <v>45661</v>
      </c>
      <c r="D810" s="4" t="s">
        <v>45</v>
      </c>
      <c r="E810" s="4" t="s">
        <v>23</v>
      </c>
      <c r="F810" s="6">
        <v>9</v>
      </c>
      <c r="G810" s="6">
        <v>650000</v>
      </c>
      <c r="H810" s="6">
        <v>5850000</v>
      </c>
      <c r="I810" s="6">
        <v>441168.81</v>
      </c>
      <c r="J810" s="6">
        <v>1879480.71</v>
      </c>
      <c r="K810" t="s">
        <v>33</v>
      </c>
      <c r="L810" t="s">
        <v>18</v>
      </c>
      <c r="M810" t="s">
        <v>19</v>
      </c>
    </row>
    <row r="811" spans="1:13">
      <c r="A811" s="4" t="s">
        <v>964</v>
      </c>
      <c r="B811" t="s">
        <v>55</v>
      </c>
      <c r="C811" s="2">
        <v>45728</v>
      </c>
      <c r="D811" s="4" t="s">
        <v>52</v>
      </c>
      <c r="E811" s="4" t="s">
        <v>23</v>
      </c>
      <c r="F811" s="6">
        <v>2</v>
      </c>
      <c r="G811" s="6">
        <v>85000</v>
      </c>
      <c r="H811" s="6">
        <v>170000</v>
      </c>
      <c r="I811" s="6">
        <v>57097.03</v>
      </c>
      <c r="J811" s="6">
        <v>55805.94</v>
      </c>
      <c r="K811" t="s">
        <v>33</v>
      </c>
      <c r="L811" t="s">
        <v>18</v>
      </c>
      <c r="M811" t="s">
        <v>38</v>
      </c>
    </row>
    <row r="812" spans="1:13">
      <c r="A812" s="4" t="s">
        <v>965</v>
      </c>
      <c r="B812" t="s">
        <v>180</v>
      </c>
      <c r="C812" s="2">
        <v>45984</v>
      </c>
      <c r="D812" s="4" t="s">
        <v>15</v>
      </c>
      <c r="E812" s="4" t="s">
        <v>16</v>
      </c>
      <c r="F812" s="6">
        <v>5</v>
      </c>
      <c r="G812" s="6">
        <v>8000</v>
      </c>
      <c r="H812" s="6">
        <v>40000</v>
      </c>
      <c r="I812" s="6">
        <v>6063.16</v>
      </c>
      <c r="J812" s="6">
        <v>9684.2000000000007</v>
      </c>
      <c r="K812" t="s">
        <v>80</v>
      </c>
      <c r="L812" t="s">
        <v>18</v>
      </c>
      <c r="M812" t="s">
        <v>67</v>
      </c>
    </row>
    <row r="813" spans="1:13">
      <c r="A813" s="4" t="s">
        <v>966</v>
      </c>
      <c r="B813" t="s">
        <v>32</v>
      </c>
      <c r="C813" s="2">
        <v>45834</v>
      </c>
      <c r="D813" s="4" t="s">
        <v>15</v>
      </c>
      <c r="E813" s="4" t="s">
        <v>16</v>
      </c>
      <c r="F813" s="6">
        <v>1</v>
      </c>
      <c r="G813" s="6">
        <v>10000</v>
      </c>
      <c r="H813" s="6">
        <v>10000</v>
      </c>
      <c r="I813" s="6">
        <v>6050.92</v>
      </c>
      <c r="J813" s="6">
        <v>3949.08</v>
      </c>
      <c r="K813" t="s">
        <v>17</v>
      </c>
      <c r="L813" t="s">
        <v>53</v>
      </c>
      <c r="M813" t="s">
        <v>34</v>
      </c>
    </row>
    <row r="814" spans="1:13">
      <c r="A814" s="4" t="s">
        <v>967</v>
      </c>
      <c r="B814" t="s">
        <v>231</v>
      </c>
      <c r="C814" s="2">
        <v>46018</v>
      </c>
      <c r="D814" s="4" t="s">
        <v>56</v>
      </c>
      <c r="E814" s="4" t="s">
        <v>23</v>
      </c>
      <c r="F814" s="6">
        <v>2</v>
      </c>
      <c r="G814" s="6">
        <v>30000</v>
      </c>
      <c r="H814" s="6">
        <v>60000</v>
      </c>
      <c r="I814" s="6">
        <v>21357.07</v>
      </c>
      <c r="J814" s="6">
        <v>17285.86</v>
      </c>
      <c r="K814" t="s">
        <v>33</v>
      </c>
      <c r="L814" t="s">
        <v>18</v>
      </c>
      <c r="M814" t="s">
        <v>19</v>
      </c>
    </row>
    <row r="815" spans="1:13">
      <c r="A815" s="4" t="s">
        <v>968</v>
      </c>
      <c r="B815" t="s">
        <v>231</v>
      </c>
      <c r="C815" s="2">
        <v>45808</v>
      </c>
      <c r="D815" s="4" t="s">
        <v>28</v>
      </c>
      <c r="E815" s="4" t="s">
        <v>23</v>
      </c>
      <c r="F815" s="6">
        <v>7</v>
      </c>
      <c r="G815" s="6">
        <v>180000</v>
      </c>
      <c r="H815" s="6">
        <v>1260000</v>
      </c>
      <c r="I815" s="6">
        <v>124000.86</v>
      </c>
      <c r="J815" s="6">
        <v>391993.98</v>
      </c>
      <c r="K815" t="s">
        <v>24</v>
      </c>
      <c r="L815" t="s">
        <v>18</v>
      </c>
      <c r="M815" t="s">
        <v>34</v>
      </c>
    </row>
    <row r="816" spans="1:13">
      <c r="A816" s="4" t="s">
        <v>969</v>
      </c>
      <c r="B816" t="s">
        <v>149</v>
      </c>
      <c r="C816" s="2">
        <v>45838</v>
      </c>
      <c r="D816" s="4" t="s">
        <v>56</v>
      </c>
      <c r="E816" s="4" t="s">
        <v>23</v>
      </c>
      <c r="F816" s="6">
        <v>3</v>
      </c>
      <c r="G816" s="6">
        <v>30000</v>
      </c>
      <c r="H816" s="6">
        <v>90000</v>
      </c>
      <c r="I816" s="6">
        <v>22586.26</v>
      </c>
      <c r="J816" s="6">
        <v>22241.22</v>
      </c>
      <c r="K816" t="s">
        <v>71</v>
      </c>
      <c r="L816" t="s">
        <v>18</v>
      </c>
      <c r="M816" t="s">
        <v>38</v>
      </c>
    </row>
    <row r="817" spans="1:13">
      <c r="A817" s="4" t="s">
        <v>970</v>
      </c>
      <c r="B817" t="s">
        <v>174</v>
      </c>
      <c r="C817" s="2">
        <v>45672</v>
      </c>
      <c r="D817" s="4" t="s">
        <v>22</v>
      </c>
      <c r="E817" s="4" t="s">
        <v>23</v>
      </c>
      <c r="F817" s="6">
        <v>8</v>
      </c>
      <c r="G817" s="6">
        <v>150000</v>
      </c>
      <c r="H817" s="6">
        <v>1200000</v>
      </c>
      <c r="I817" s="6">
        <v>96281.51</v>
      </c>
      <c r="J817" s="6">
        <v>429747.92</v>
      </c>
      <c r="K817" t="s">
        <v>71</v>
      </c>
      <c r="L817" t="s">
        <v>18</v>
      </c>
      <c r="M817" t="s">
        <v>38</v>
      </c>
    </row>
    <row r="818" spans="1:13">
      <c r="A818" s="4" t="s">
        <v>971</v>
      </c>
      <c r="B818" t="s">
        <v>103</v>
      </c>
      <c r="C818" s="2">
        <v>45700</v>
      </c>
      <c r="D818" s="4" t="s">
        <v>48</v>
      </c>
      <c r="E818" s="4" t="s">
        <v>49</v>
      </c>
      <c r="F818" s="6">
        <v>5</v>
      </c>
      <c r="G818" s="6">
        <v>140000</v>
      </c>
      <c r="H818" s="6">
        <v>700000</v>
      </c>
      <c r="I818" s="6">
        <v>95895.15</v>
      </c>
      <c r="J818" s="6">
        <v>220524.25</v>
      </c>
      <c r="K818" t="s">
        <v>24</v>
      </c>
      <c r="L818" t="s">
        <v>53</v>
      </c>
      <c r="M818" t="s">
        <v>50</v>
      </c>
    </row>
    <row r="819" spans="1:13">
      <c r="A819" s="4" t="s">
        <v>972</v>
      </c>
      <c r="B819" t="s">
        <v>109</v>
      </c>
      <c r="C819" s="2">
        <v>45910</v>
      </c>
      <c r="D819" s="4" t="s">
        <v>52</v>
      </c>
      <c r="E819" s="4" t="s">
        <v>23</v>
      </c>
      <c r="F819" s="6">
        <v>8</v>
      </c>
      <c r="G819" s="6">
        <v>85000</v>
      </c>
      <c r="H819" s="6">
        <v>680000</v>
      </c>
      <c r="I819" s="6">
        <v>64801.49</v>
      </c>
      <c r="J819" s="6">
        <v>161588.07999999999</v>
      </c>
      <c r="K819" t="s">
        <v>33</v>
      </c>
      <c r="L819" t="s">
        <v>18</v>
      </c>
      <c r="M819" t="s">
        <v>38</v>
      </c>
    </row>
    <row r="820" spans="1:13">
      <c r="A820" s="4" t="s">
        <v>973</v>
      </c>
      <c r="B820" t="s">
        <v>44</v>
      </c>
      <c r="C820" s="2">
        <v>45807</v>
      </c>
      <c r="D820" s="4" t="s">
        <v>52</v>
      </c>
      <c r="E820" s="4" t="s">
        <v>23</v>
      </c>
      <c r="F820" s="6">
        <v>12</v>
      </c>
      <c r="G820" s="6">
        <v>65000</v>
      </c>
      <c r="H820" s="6">
        <v>780000</v>
      </c>
      <c r="I820" s="6">
        <v>47144.01</v>
      </c>
      <c r="J820" s="6">
        <v>214271.88</v>
      </c>
      <c r="K820" t="s">
        <v>24</v>
      </c>
      <c r="L820" t="s">
        <v>29</v>
      </c>
      <c r="M820" t="s">
        <v>34</v>
      </c>
    </row>
    <row r="821" spans="1:13">
      <c r="A821" s="4" t="s">
        <v>974</v>
      </c>
      <c r="B821" t="s">
        <v>105</v>
      </c>
      <c r="C821" s="2">
        <v>45718</v>
      </c>
      <c r="D821" s="4" t="s">
        <v>106</v>
      </c>
      <c r="E821" s="4" t="s">
        <v>23</v>
      </c>
      <c r="F821" s="6">
        <v>1</v>
      </c>
      <c r="G821" s="6">
        <v>150000</v>
      </c>
      <c r="H821" s="6">
        <v>150000</v>
      </c>
      <c r="I821" s="6">
        <v>116055.88</v>
      </c>
      <c r="J821" s="6">
        <v>33944.120000000003</v>
      </c>
      <c r="K821" t="s">
        <v>33</v>
      </c>
      <c r="L821" t="s">
        <v>53</v>
      </c>
      <c r="M821" t="s">
        <v>19</v>
      </c>
    </row>
    <row r="822" spans="1:13">
      <c r="A822" s="4" t="s">
        <v>975</v>
      </c>
      <c r="B822" t="s">
        <v>219</v>
      </c>
      <c r="C822" s="2">
        <v>45754</v>
      </c>
      <c r="D822" s="4" t="s">
        <v>63</v>
      </c>
      <c r="E822" s="4" t="s">
        <v>16</v>
      </c>
      <c r="F822" s="6">
        <v>3</v>
      </c>
      <c r="G822" s="6">
        <v>5000</v>
      </c>
      <c r="H822" s="6">
        <v>15000</v>
      </c>
      <c r="I822" s="6">
        <v>2922.95</v>
      </c>
      <c r="J822" s="6">
        <v>6231.15</v>
      </c>
      <c r="K822" t="s">
        <v>71</v>
      </c>
      <c r="L822" t="s">
        <v>53</v>
      </c>
      <c r="M822" t="s">
        <v>38</v>
      </c>
    </row>
    <row r="823" spans="1:13">
      <c r="A823" s="4" t="s">
        <v>976</v>
      </c>
      <c r="B823" t="s">
        <v>343</v>
      </c>
      <c r="C823" s="2">
        <v>45746</v>
      </c>
      <c r="D823" s="4" t="s">
        <v>66</v>
      </c>
      <c r="E823" s="4" t="s">
        <v>49</v>
      </c>
      <c r="F823" s="6">
        <v>3</v>
      </c>
      <c r="G823" s="6">
        <v>90000</v>
      </c>
      <c r="H823" s="6">
        <v>270000</v>
      </c>
      <c r="I823" s="6">
        <v>69662.75</v>
      </c>
      <c r="J823" s="6">
        <v>61011.75</v>
      </c>
      <c r="K823" t="s">
        <v>17</v>
      </c>
      <c r="L823" t="s">
        <v>29</v>
      </c>
      <c r="M823" t="s">
        <v>67</v>
      </c>
    </row>
    <row r="824" spans="1:13">
      <c r="A824" s="4" t="s">
        <v>977</v>
      </c>
      <c r="B824" t="s">
        <v>60</v>
      </c>
      <c r="C824" s="2">
        <v>45743</v>
      </c>
      <c r="D824" s="4" t="s">
        <v>28</v>
      </c>
      <c r="E824" s="4" t="s">
        <v>23</v>
      </c>
      <c r="F824" s="6">
        <v>11</v>
      </c>
      <c r="G824" s="6">
        <v>180000</v>
      </c>
      <c r="H824" s="6">
        <v>1980000</v>
      </c>
      <c r="I824" s="6">
        <v>142021.56</v>
      </c>
      <c r="J824" s="6">
        <v>417762.84</v>
      </c>
      <c r="K824" t="s">
        <v>71</v>
      </c>
      <c r="L824" t="s">
        <v>18</v>
      </c>
      <c r="M824" t="s">
        <v>19</v>
      </c>
    </row>
    <row r="825" spans="1:13">
      <c r="A825" s="4" t="s">
        <v>978</v>
      </c>
      <c r="B825" t="s">
        <v>331</v>
      </c>
      <c r="C825" s="2">
        <v>46011</v>
      </c>
      <c r="D825" s="4" t="s">
        <v>22</v>
      </c>
      <c r="E825" s="4" t="s">
        <v>23</v>
      </c>
      <c r="F825" s="6">
        <v>8</v>
      </c>
      <c r="G825" s="6">
        <v>280000</v>
      </c>
      <c r="H825" s="6">
        <v>2240000</v>
      </c>
      <c r="I825" s="6">
        <v>202465.47</v>
      </c>
      <c r="J825" s="6">
        <v>620276.24</v>
      </c>
      <c r="K825" t="s">
        <v>17</v>
      </c>
      <c r="L825" t="s">
        <v>53</v>
      </c>
      <c r="M825" t="s">
        <v>50</v>
      </c>
    </row>
    <row r="826" spans="1:13">
      <c r="A826" s="4" t="s">
        <v>979</v>
      </c>
      <c r="B826" t="s">
        <v>94</v>
      </c>
      <c r="C826" s="2">
        <v>45788</v>
      </c>
      <c r="D826" s="4" t="s">
        <v>15</v>
      </c>
      <c r="E826" s="4" t="s">
        <v>16</v>
      </c>
      <c r="F826" s="6">
        <v>8</v>
      </c>
      <c r="G826" s="6">
        <v>8000</v>
      </c>
      <c r="H826" s="6">
        <v>64000</v>
      </c>
      <c r="I826" s="6">
        <v>6387.36</v>
      </c>
      <c r="J826" s="6">
        <v>12901.12</v>
      </c>
      <c r="K826" t="s">
        <v>24</v>
      </c>
      <c r="L826" t="s">
        <v>18</v>
      </c>
      <c r="M826" t="s">
        <v>25</v>
      </c>
    </row>
    <row r="827" spans="1:13">
      <c r="A827" s="4" t="s">
        <v>980</v>
      </c>
      <c r="B827" t="s">
        <v>308</v>
      </c>
      <c r="C827" s="2">
        <v>45844</v>
      </c>
      <c r="D827" s="4" t="s">
        <v>48</v>
      </c>
      <c r="E827" s="4" t="s">
        <v>49</v>
      </c>
      <c r="F827" s="6">
        <v>2</v>
      </c>
      <c r="G827" s="6">
        <v>140000</v>
      </c>
      <c r="H827" s="6">
        <v>280000</v>
      </c>
      <c r="I827" s="6">
        <v>104872.48</v>
      </c>
      <c r="J827" s="6">
        <v>70255.039999999994</v>
      </c>
      <c r="K827" t="s">
        <v>80</v>
      </c>
      <c r="L827" t="s">
        <v>18</v>
      </c>
      <c r="M827" t="s">
        <v>67</v>
      </c>
    </row>
    <row r="828" spans="1:13">
      <c r="A828" s="4" t="s">
        <v>981</v>
      </c>
      <c r="B828" t="s">
        <v>213</v>
      </c>
      <c r="C828" s="2">
        <v>45856</v>
      </c>
      <c r="D828" s="4" t="s">
        <v>22</v>
      </c>
      <c r="E828" s="4" t="s">
        <v>23</v>
      </c>
      <c r="F828" s="6">
        <v>10</v>
      </c>
      <c r="G828" s="6">
        <v>210000</v>
      </c>
      <c r="H828" s="6">
        <v>2100000</v>
      </c>
      <c r="I828" s="6">
        <v>151385.04</v>
      </c>
      <c r="J828" s="6">
        <v>586149.6</v>
      </c>
      <c r="K828" t="s">
        <v>24</v>
      </c>
      <c r="L828" t="s">
        <v>29</v>
      </c>
      <c r="M828" t="s">
        <v>25</v>
      </c>
    </row>
    <row r="829" spans="1:13">
      <c r="A829" s="4" t="s">
        <v>982</v>
      </c>
      <c r="B829" t="s">
        <v>109</v>
      </c>
      <c r="C829" s="2">
        <v>45826</v>
      </c>
      <c r="D829" s="4" t="s">
        <v>45</v>
      </c>
      <c r="E829" s="4" t="s">
        <v>23</v>
      </c>
      <c r="F829" s="6">
        <v>1</v>
      </c>
      <c r="G829" s="6">
        <v>650000</v>
      </c>
      <c r="H829" s="6">
        <v>650000</v>
      </c>
      <c r="I829" s="6">
        <v>474088.92</v>
      </c>
      <c r="J829" s="6">
        <v>175911.08</v>
      </c>
      <c r="K829" t="s">
        <v>24</v>
      </c>
      <c r="L829" t="s">
        <v>18</v>
      </c>
      <c r="M829" t="s">
        <v>38</v>
      </c>
    </row>
    <row r="830" spans="1:13">
      <c r="A830" s="4" t="s">
        <v>983</v>
      </c>
      <c r="B830" t="s">
        <v>325</v>
      </c>
      <c r="C830" s="2">
        <v>45875</v>
      </c>
      <c r="D830" s="4" t="s">
        <v>15</v>
      </c>
      <c r="E830" s="4" t="s">
        <v>16</v>
      </c>
      <c r="F830" s="6">
        <v>10</v>
      </c>
      <c r="G830" s="6">
        <v>8000</v>
      </c>
      <c r="H830" s="6">
        <v>80000</v>
      </c>
      <c r="I830" s="6">
        <v>5749.64</v>
      </c>
      <c r="J830" s="6">
        <v>22503.599999999999</v>
      </c>
      <c r="K830" t="s">
        <v>71</v>
      </c>
      <c r="L830" t="s">
        <v>18</v>
      </c>
      <c r="M830" t="s">
        <v>25</v>
      </c>
    </row>
    <row r="831" spans="1:13">
      <c r="A831" s="4" t="s">
        <v>984</v>
      </c>
      <c r="B831" t="s">
        <v>73</v>
      </c>
      <c r="C831" s="2">
        <v>45833</v>
      </c>
      <c r="D831" s="4" t="s">
        <v>48</v>
      </c>
      <c r="E831" s="4" t="s">
        <v>49</v>
      </c>
      <c r="F831" s="6">
        <v>9</v>
      </c>
      <c r="G831" s="6">
        <v>200000</v>
      </c>
      <c r="H831" s="6">
        <v>1800000</v>
      </c>
      <c r="I831" s="6">
        <v>116848.18</v>
      </c>
      <c r="J831" s="6">
        <v>748366.38</v>
      </c>
      <c r="K831" t="s">
        <v>17</v>
      </c>
      <c r="L831" t="s">
        <v>29</v>
      </c>
      <c r="M831" t="s">
        <v>67</v>
      </c>
    </row>
    <row r="832" spans="1:13">
      <c r="A832" s="4" t="s">
        <v>985</v>
      </c>
      <c r="B832" t="s">
        <v>32</v>
      </c>
      <c r="C832" s="2">
        <v>45689</v>
      </c>
      <c r="D832" s="4" t="s">
        <v>52</v>
      </c>
      <c r="E832" s="4" t="s">
        <v>23</v>
      </c>
      <c r="F832" s="6">
        <v>6</v>
      </c>
      <c r="G832" s="6">
        <v>85000</v>
      </c>
      <c r="H832" s="6">
        <v>510000</v>
      </c>
      <c r="I832" s="6">
        <v>64466.94</v>
      </c>
      <c r="J832" s="6">
        <v>123198.36</v>
      </c>
      <c r="K832" t="s">
        <v>24</v>
      </c>
      <c r="L832" t="s">
        <v>18</v>
      </c>
      <c r="M832" t="s">
        <v>67</v>
      </c>
    </row>
    <row r="833" spans="1:13">
      <c r="A833" s="4" t="s">
        <v>986</v>
      </c>
      <c r="B833" t="s">
        <v>187</v>
      </c>
      <c r="C833" s="2">
        <v>45688</v>
      </c>
      <c r="D833" s="4" t="s">
        <v>52</v>
      </c>
      <c r="E833" s="4" t="s">
        <v>23</v>
      </c>
      <c r="F833" s="6">
        <v>2</v>
      </c>
      <c r="G833" s="6">
        <v>85000</v>
      </c>
      <c r="H833" s="6">
        <v>170000</v>
      </c>
      <c r="I833" s="6">
        <v>61012.32</v>
      </c>
      <c r="J833" s="6">
        <v>47975.360000000001</v>
      </c>
      <c r="K833" t="s">
        <v>17</v>
      </c>
      <c r="L833" t="s">
        <v>53</v>
      </c>
      <c r="M833" t="s">
        <v>30</v>
      </c>
    </row>
    <row r="834" spans="1:13">
      <c r="A834" s="4" t="s">
        <v>987</v>
      </c>
      <c r="B834" t="s">
        <v>84</v>
      </c>
      <c r="C834" s="2">
        <v>45688</v>
      </c>
      <c r="D834" s="4" t="s">
        <v>56</v>
      </c>
      <c r="E834" s="4" t="s">
        <v>23</v>
      </c>
      <c r="F834" s="6">
        <v>3</v>
      </c>
      <c r="G834" s="6">
        <v>30000</v>
      </c>
      <c r="H834" s="6">
        <v>90000</v>
      </c>
      <c r="I834" s="6">
        <v>20395.400000000001</v>
      </c>
      <c r="J834" s="6">
        <v>28813.8</v>
      </c>
      <c r="K834" t="s">
        <v>80</v>
      </c>
      <c r="L834" t="s">
        <v>18</v>
      </c>
      <c r="M834" t="s">
        <v>38</v>
      </c>
    </row>
    <row r="835" spans="1:13">
      <c r="A835" s="4" t="s">
        <v>988</v>
      </c>
      <c r="B835" t="s">
        <v>32</v>
      </c>
      <c r="C835" s="2">
        <v>45727</v>
      </c>
      <c r="D835" s="4" t="s">
        <v>56</v>
      </c>
      <c r="E835" s="4" t="s">
        <v>23</v>
      </c>
      <c r="F835" s="6">
        <v>2</v>
      </c>
      <c r="G835" s="6">
        <v>45000</v>
      </c>
      <c r="H835" s="6">
        <v>90000</v>
      </c>
      <c r="I835" s="6">
        <v>34444.89</v>
      </c>
      <c r="J835" s="6">
        <v>21110.22</v>
      </c>
      <c r="K835" t="s">
        <v>24</v>
      </c>
      <c r="L835" t="s">
        <v>18</v>
      </c>
      <c r="M835" t="s">
        <v>19</v>
      </c>
    </row>
    <row r="836" spans="1:13">
      <c r="A836" s="4" t="s">
        <v>989</v>
      </c>
      <c r="B836" t="s">
        <v>151</v>
      </c>
      <c r="C836" s="2">
        <v>45846</v>
      </c>
      <c r="D836" s="4" t="s">
        <v>70</v>
      </c>
      <c r="E836" s="4" t="s">
        <v>16</v>
      </c>
      <c r="F836" s="6">
        <v>3</v>
      </c>
      <c r="G836" s="6">
        <v>22000</v>
      </c>
      <c r="H836" s="6">
        <v>66000</v>
      </c>
      <c r="I836" s="6">
        <v>17387.34</v>
      </c>
      <c r="J836" s="6">
        <v>13837.98</v>
      </c>
      <c r="K836" t="s">
        <v>71</v>
      </c>
      <c r="L836" t="s">
        <v>53</v>
      </c>
      <c r="M836" t="s">
        <v>67</v>
      </c>
    </row>
    <row r="837" spans="1:13">
      <c r="A837" s="4" t="s">
        <v>990</v>
      </c>
      <c r="B837" t="s">
        <v>415</v>
      </c>
      <c r="C837" s="2">
        <v>45810</v>
      </c>
      <c r="D837" s="4" t="s">
        <v>56</v>
      </c>
      <c r="E837" s="4" t="s">
        <v>23</v>
      </c>
      <c r="F837" s="6">
        <v>6</v>
      </c>
      <c r="G837" s="6">
        <v>70000</v>
      </c>
      <c r="H837" s="6">
        <v>420000</v>
      </c>
      <c r="I837" s="6">
        <v>52764.79</v>
      </c>
      <c r="J837" s="6">
        <v>103411.26</v>
      </c>
      <c r="K837" t="s">
        <v>80</v>
      </c>
      <c r="L837" t="s">
        <v>18</v>
      </c>
      <c r="M837" t="s">
        <v>34</v>
      </c>
    </row>
    <row r="838" spans="1:13">
      <c r="A838" s="4" t="s">
        <v>991</v>
      </c>
      <c r="B838" t="s">
        <v>129</v>
      </c>
      <c r="C838" s="2">
        <v>46009</v>
      </c>
      <c r="D838" s="4" t="s">
        <v>251</v>
      </c>
      <c r="E838" s="4" t="s">
        <v>23</v>
      </c>
      <c r="F838" s="6">
        <v>12</v>
      </c>
      <c r="G838" s="6">
        <v>150000</v>
      </c>
      <c r="H838" s="6">
        <v>1800000</v>
      </c>
      <c r="I838" s="6">
        <v>119782.21</v>
      </c>
      <c r="J838" s="6">
        <v>362613.48</v>
      </c>
      <c r="K838" t="s">
        <v>80</v>
      </c>
      <c r="L838" t="s">
        <v>29</v>
      </c>
      <c r="M838" t="s">
        <v>34</v>
      </c>
    </row>
    <row r="839" spans="1:13">
      <c r="A839" s="4" t="s">
        <v>992</v>
      </c>
      <c r="B839" t="s">
        <v>133</v>
      </c>
      <c r="C839" s="2">
        <v>45782</v>
      </c>
      <c r="D839" s="4" t="s">
        <v>45</v>
      </c>
      <c r="E839" s="4" t="s">
        <v>23</v>
      </c>
      <c r="F839" s="6">
        <v>10</v>
      </c>
      <c r="G839" s="6">
        <v>450000</v>
      </c>
      <c r="H839" s="6">
        <v>4500000</v>
      </c>
      <c r="I839" s="6">
        <v>354825.25</v>
      </c>
      <c r="J839" s="6">
        <v>951747.5</v>
      </c>
      <c r="K839" t="s">
        <v>17</v>
      </c>
      <c r="L839" t="s">
        <v>29</v>
      </c>
      <c r="M839" t="s">
        <v>38</v>
      </c>
    </row>
    <row r="840" spans="1:13">
      <c r="A840" s="4" t="s">
        <v>993</v>
      </c>
      <c r="B840" t="s">
        <v>308</v>
      </c>
      <c r="C840" s="2">
        <v>45969</v>
      </c>
      <c r="D840" s="4" t="s">
        <v>56</v>
      </c>
      <c r="E840" s="4" t="s">
        <v>23</v>
      </c>
      <c r="F840" s="6">
        <v>5</v>
      </c>
      <c r="G840" s="6">
        <v>70000</v>
      </c>
      <c r="H840" s="6">
        <v>350000</v>
      </c>
      <c r="I840" s="6">
        <v>41050.65</v>
      </c>
      <c r="J840" s="6">
        <v>144746.75</v>
      </c>
      <c r="K840" t="s">
        <v>24</v>
      </c>
      <c r="L840" t="s">
        <v>53</v>
      </c>
      <c r="M840" t="s">
        <v>25</v>
      </c>
    </row>
    <row r="841" spans="1:13">
      <c r="A841" s="4" t="s">
        <v>994</v>
      </c>
      <c r="B841" t="s">
        <v>205</v>
      </c>
      <c r="C841" s="2">
        <v>45745</v>
      </c>
      <c r="D841" s="4" t="s">
        <v>106</v>
      </c>
      <c r="E841" s="4" t="s">
        <v>23</v>
      </c>
      <c r="F841" s="6">
        <v>9</v>
      </c>
      <c r="G841" s="6">
        <v>120000</v>
      </c>
      <c r="H841" s="6">
        <v>1080000</v>
      </c>
      <c r="I841" s="6">
        <v>97639.1</v>
      </c>
      <c r="J841" s="6">
        <v>201248.1</v>
      </c>
      <c r="K841" t="s">
        <v>71</v>
      </c>
      <c r="L841" t="s">
        <v>18</v>
      </c>
      <c r="M841" t="s">
        <v>34</v>
      </c>
    </row>
    <row r="842" spans="1:13">
      <c r="A842" s="4" t="s">
        <v>995</v>
      </c>
      <c r="B842" t="s">
        <v>42</v>
      </c>
      <c r="C842" s="2">
        <v>45820</v>
      </c>
      <c r="D842" s="4" t="s">
        <v>22</v>
      </c>
      <c r="E842" s="4" t="s">
        <v>23</v>
      </c>
      <c r="F842" s="6">
        <v>10</v>
      </c>
      <c r="G842" s="6">
        <v>150000</v>
      </c>
      <c r="H842" s="6">
        <v>1500000</v>
      </c>
      <c r="I842" s="6">
        <v>110027.28</v>
      </c>
      <c r="J842" s="6">
        <v>399727.2</v>
      </c>
      <c r="K842" t="s">
        <v>80</v>
      </c>
      <c r="L842" t="s">
        <v>53</v>
      </c>
      <c r="M842" t="s">
        <v>19</v>
      </c>
    </row>
    <row r="843" spans="1:13">
      <c r="A843" s="4" t="s">
        <v>996</v>
      </c>
      <c r="B843" t="s">
        <v>88</v>
      </c>
      <c r="C843" s="2">
        <v>45959</v>
      </c>
      <c r="D843" s="4" t="s">
        <v>66</v>
      </c>
      <c r="E843" s="4" t="s">
        <v>49</v>
      </c>
      <c r="F843" s="6">
        <v>5</v>
      </c>
      <c r="G843" s="6">
        <v>90000</v>
      </c>
      <c r="H843" s="6">
        <v>450000</v>
      </c>
      <c r="I843" s="6">
        <v>68590.240000000005</v>
      </c>
      <c r="J843" s="6">
        <v>107048.8</v>
      </c>
      <c r="K843" t="s">
        <v>80</v>
      </c>
      <c r="L843" t="s">
        <v>29</v>
      </c>
      <c r="M843" t="s">
        <v>19</v>
      </c>
    </row>
    <row r="844" spans="1:13">
      <c r="A844" s="4" t="s">
        <v>997</v>
      </c>
      <c r="B844" t="s">
        <v>266</v>
      </c>
      <c r="C844" s="2">
        <v>45787</v>
      </c>
      <c r="D844" s="4" t="s">
        <v>45</v>
      </c>
      <c r="E844" s="4" t="s">
        <v>23</v>
      </c>
      <c r="F844" s="6">
        <v>8</v>
      </c>
      <c r="G844" s="6">
        <v>450000</v>
      </c>
      <c r="H844" s="6">
        <v>3600000</v>
      </c>
      <c r="I844" s="6">
        <v>349788.49</v>
      </c>
      <c r="J844" s="6">
        <v>801692.08</v>
      </c>
      <c r="K844" t="s">
        <v>80</v>
      </c>
      <c r="L844" t="s">
        <v>53</v>
      </c>
      <c r="M844" t="s">
        <v>25</v>
      </c>
    </row>
    <row r="845" spans="1:13">
      <c r="A845" s="4" t="s">
        <v>998</v>
      </c>
      <c r="B845" t="s">
        <v>450</v>
      </c>
      <c r="C845" s="2">
        <v>45758</v>
      </c>
      <c r="D845" s="4" t="s">
        <v>66</v>
      </c>
      <c r="E845" s="4" t="s">
        <v>49</v>
      </c>
      <c r="F845" s="6">
        <v>4</v>
      </c>
      <c r="G845" s="6">
        <v>175000</v>
      </c>
      <c r="H845" s="6">
        <v>700000</v>
      </c>
      <c r="I845" s="6">
        <v>138351.85999999999</v>
      </c>
      <c r="J845" s="6">
        <v>146592.56</v>
      </c>
      <c r="K845" t="s">
        <v>33</v>
      </c>
      <c r="L845" t="s">
        <v>18</v>
      </c>
      <c r="M845" t="s">
        <v>19</v>
      </c>
    </row>
    <row r="846" spans="1:13">
      <c r="A846" s="4" t="s">
        <v>999</v>
      </c>
      <c r="B846" t="s">
        <v>125</v>
      </c>
      <c r="C846" s="2">
        <v>45984</v>
      </c>
      <c r="D846" s="4" t="s">
        <v>45</v>
      </c>
      <c r="E846" s="4" t="s">
        <v>23</v>
      </c>
      <c r="F846" s="6">
        <v>1</v>
      </c>
      <c r="G846" s="6">
        <v>650000</v>
      </c>
      <c r="H846" s="6">
        <v>650000</v>
      </c>
      <c r="I846" s="6">
        <v>403735.84</v>
      </c>
      <c r="J846" s="6">
        <v>246264.16</v>
      </c>
      <c r="K846" t="s">
        <v>80</v>
      </c>
      <c r="L846" t="s">
        <v>18</v>
      </c>
      <c r="M846" t="s">
        <v>34</v>
      </c>
    </row>
    <row r="847" spans="1:13">
      <c r="A847" s="4" t="s">
        <v>1000</v>
      </c>
      <c r="B847" t="s">
        <v>94</v>
      </c>
      <c r="C847" s="2">
        <v>46017</v>
      </c>
      <c r="D847" s="4" t="s">
        <v>63</v>
      </c>
      <c r="E847" s="4" t="s">
        <v>16</v>
      </c>
      <c r="F847" s="6">
        <v>9</v>
      </c>
      <c r="G847" s="6">
        <v>7000</v>
      </c>
      <c r="H847" s="6">
        <v>63000</v>
      </c>
      <c r="I847" s="6">
        <v>5132.1400000000003</v>
      </c>
      <c r="J847" s="6">
        <v>16810.740000000002</v>
      </c>
      <c r="K847" t="s">
        <v>17</v>
      </c>
      <c r="L847" t="s">
        <v>53</v>
      </c>
      <c r="M847" t="s">
        <v>38</v>
      </c>
    </row>
    <row r="848" spans="1:13">
      <c r="A848" s="4" t="s">
        <v>1001</v>
      </c>
      <c r="B848" t="s">
        <v>208</v>
      </c>
      <c r="C848" s="2">
        <v>45827</v>
      </c>
      <c r="D848" s="4" t="s">
        <v>52</v>
      </c>
      <c r="E848" s="4" t="s">
        <v>23</v>
      </c>
      <c r="F848" s="6">
        <v>10</v>
      </c>
      <c r="G848" s="6">
        <v>65000</v>
      </c>
      <c r="H848" s="6">
        <v>650000</v>
      </c>
      <c r="I848" s="6">
        <v>48048.84</v>
      </c>
      <c r="J848" s="6">
        <v>169511.6</v>
      </c>
      <c r="K848" t="s">
        <v>24</v>
      </c>
      <c r="L848" t="s">
        <v>18</v>
      </c>
      <c r="M848" t="s">
        <v>19</v>
      </c>
    </row>
    <row r="849" spans="1:13">
      <c r="A849" s="4" t="s">
        <v>1002</v>
      </c>
      <c r="B849" t="s">
        <v>146</v>
      </c>
      <c r="C849" s="2">
        <v>45996</v>
      </c>
      <c r="D849" s="4" t="s">
        <v>45</v>
      </c>
      <c r="E849" s="4" t="s">
        <v>23</v>
      </c>
      <c r="F849" s="6">
        <v>5</v>
      </c>
      <c r="G849" s="6">
        <v>450000</v>
      </c>
      <c r="H849" s="6">
        <v>2250000</v>
      </c>
      <c r="I849" s="6">
        <v>284392.09000000003</v>
      </c>
      <c r="J849" s="6">
        <v>828039.55</v>
      </c>
      <c r="K849" t="s">
        <v>80</v>
      </c>
      <c r="L849" t="s">
        <v>29</v>
      </c>
      <c r="M849" t="s">
        <v>50</v>
      </c>
    </row>
    <row r="850" spans="1:13">
      <c r="A850" s="4" t="s">
        <v>1003</v>
      </c>
      <c r="B850" t="s">
        <v>42</v>
      </c>
      <c r="C850" s="2">
        <v>45883</v>
      </c>
      <c r="D850" s="4" t="s">
        <v>45</v>
      </c>
      <c r="E850" s="4" t="s">
        <v>23</v>
      </c>
      <c r="F850" s="6">
        <v>9</v>
      </c>
      <c r="G850" s="6">
        <v>450000</v>
      </c>
      <c r="H850" s="6">
        <v>4050000</v>
      </c>
      <c r="I850" s="6">
        <v>367895.78</v>
      </c>
      <c r="J850" s="6">
        <v>738937.98</v>
      </c>
      <c r="K850" t="s">
        <v>71</v>
      </c>
      <c r="L850" t="s">
        <v>29</v>
      </c>
      <c r="M850" t="s">
        <v>34</v>
      </c>
    </row>
    <row r="851" spans="1:13">
      <c r="A851" s="4" t="s">
        <v>1004</v>
      </c>
      <c r="B851" t="s">
        <v>193</v>
      </c>
      <c r="C851" s="2">
        <v>45767</v>
      </c>
      <c r="D851" s="4" t="s">
        <v>56</v>
      </c>
      <c r="E851" s="4" t="s">
        <v>23</v>
      </c>
      <c r="F851" s="6">
        <v>11</v>
      </c>
      <c r="G851" s="6">
        <v>70000</v>
      </c>
      <c r="H851" s="6">
        <v>770000</v>
      </c>
      <c r="I851" s="6">
        <v>43143.09</v>
      </c>
      <c r="J851" s="6">
        <v>295426.01</v>
      </c>
      <c r="K851" t="s">
        <v>33</v>
      </c>
      <c r="L851" t="s">
        <v>18</v>
      </c>
      <c r="M851" t="s">
        <v>30</v>
      </c>
    </row>
    <row r="852" spans="1:13">
      <c r="A852" s="4" t="s">
        <v>1005</v>
      </c>
      <c r="B852" t="s">
        <v>512</v>
      </c>
      <c r="C852" s="2">
        <v>45680</v>
      </c>
      <c r="D852" s="4" t="s">
        <v>52</v>
      </c>
      <c r="E852" s="4" t="s">
        <v>23</v>
      </c>
      <c r="F852" s="6">
        <v>1</v>
      </c>
      <c r="G852" s="6">
        <v>85000</v>
      </c>
      <c r="H852" s="6">
        <v>85000</v>
      </c>
      <c r="I852" s="6">
        <v>56729.54</v>
      </c>
      <c r="J852" s="6">
        <v>28270.46</v>
      </c>
      <c r="K852" t="s">
        <v>80</v>
      </c>
      <c r="L852" t="s">
        <v>29</v>
      </c>
      <c r="M852" t="s">
        <v>19</v>
      </c>
    </row>
    <row r="853" spans="1:13">
      <c r="A853" s="4" t="s">
        <v>1006</v>
      </c>
      <c r="B853" t="s">
        <v>512</v>
      </c>
      <c r="C853" s="2">
        <v>45730</v>
      </c>
      <c r="D853" s="4" t="s">
        <v>56</v>
      </c>
      <c r="E853" s="4" t="s">
        <v>23</v>
      </c>
      <c r="F853" s="6">
        <v>6</v>
      </c>
      <c r="G853" s="6">
        <v>45000</v>
      </c>
      <c r="H853" s="6">
        <v>270000</v>
      </c>
      <c r="I853" s="6">
        <v>29805.119999999999</v>
      </c>
      <c r="J853" s="6">
        <v>91169.279999999999</v>
      </c>
      <c r="K853" t="s">
        <v>33</v>
      </c>
      <c r="L853" t="s">
        <v>29</v>
      </c>
      <c r="M853" t="s">
        <v>19</v>
      </c>
    </row>
    <row r="854" spans="1:13">
      <c r="A854" s="4" t="s">
        <v>1007</v>
      </c>
      <c r="B854" t="s">
        <v>231</v>
      </c>
      <c r="C854" s="2">
        <v>45691</v>
      </c>
      <c r="D854" s="4" t="s">
        <v>28</v>
      </c>
      <c r="E854" s="4" t="s">
        <v>23</v>
      </c>
      <c r="F854" s="6">
        <v>5</v>
      </c>
      <c r="G854" s="6">
        <v>220000</v>
      </c>
      <c r="H854" s="6">
        <v>1100000</v>
      </c>
      <c r="I854" s="6">
        <v>180378.62</v>
      </c>
      <c r="J854" s="6">
        <v>198106.9</v>
      </c>
      <c r="K854" t="s">
        <v>80</v>
      </c>
      <c r="L854" t="s">
        <v>18</v>
      </c>
      <c r="M854" t="s">
        <v>30</v>
      </c>
    </row>
    <row r="855" spans="1:13">
      <c r="A855" s="4" t="s">
        <v>1008</v>
      </c>
      <c r="B855" t="s">
        <v>94</v>
      </c>
      <c r="C855" s="2">
        <v>45715</v>
      </c>
      <c r="D855" s="4" t="s">
        <v>63</v>
      </c>
      <c r="E855" s="4" t="s">
        <v>16</v>
      </c>
      <c r="F855" s="6">
        <v>10</v>
      </c>
      <c r="G855" s="6">
        <v>5000</v>
      </c>
      <c r="H855" s="6">
        <v>50000</v>
      </c>
      <c r="I855" s="6">
        <v>4054.09</v>
      </c>
      <c r="J855" s="6">
        <v>9459.1</v>
      </c>
      <c r="K855" t="s">
        <v>71</v>
      </c>
      <c r="L855" t="s">
        <v>18</v>
      </c>
      <c r="M855" t="s">
        <v>38</v>
      </c>
    </row>
    <row r="856" spans="1:13">
      <c r="A856" s="4" t="s">
        <v>1009</v>
      </c>
      <c r="B856" t="s">
        <v>77</v>
      </c>
      <c r="C856" s="2">
        <v>45718</v>
      </c>
      <c r="D856" s="4" t="s">
        <v>37</v>
      </c>
      <c r="E856" s="4" t="s">
        <v>16</v>
      </c>
      <c r="F856" s="6">
        <v>12</v>
      </c>
      <c r="G856" s="6">
        <v>18000</v>
      </c>
      <c r="H856" s="6">
        <v>216000</v>
      </c>
      <c r="I856" s="6">
        <v>14390.39</v>
      </c>
      <c r="J856" s="6">
        <v>43315.32</v>
      </c>
      <c r="K856" t="s">
        <v>33</v>
      </c>
      <c r="L856" t="s">
        <v>18</v>
      </c>
      <c r="M856" t="s">
        <v>50</v>
      </c>
    </row>
    <row r="857" spans="1:13">
      <c r="A857" s="4" t="s">
        <v>1010</v>
      </c>
      <c r="B857" t="s">
        <v>21</v>
      </c>
      <c r="C857" s="2">
        <v>45879</v>
      </c>
      <c r="D857" s="4" t="s">
        <v>66</v>
      </c>
      <c r="E857" s="4" t="s">
        <v>49</v>
      </c>
      <c r="F857" s="6">
        <v>7</v>
      </c>
      <c r="G857" s="6">
        <v>120000</v>
      </c>
      <c r="H857" s="6">
        <v>840000</v>
      </c>
      <c r="I857" s="6">
        <v>92769.73</v>
      </c>
      <c r="J857" s="6">
        <v>190611.89</v>
      </c>
      <c r="K857" t="s">
        <v>24</v>
      </c>
      <c r="L857" t="s">
        <v>29</v>
      </c>
      <c r="M857" t="s">
        <v>67</v>
      </c>
    </row>
    <row r="858" spans="1:13">
      <c r="A858" s="4" t="s">
        <v>1011</v>
      </c>
      <c r="B858" t="s">
        <v>627</v>
      </c>
      <c r="C858" s="2">
        <v>45924</v>
      </c>
      <c r="D858" s="4" t="s">
        <v>28</v>
      </c>
      <c r="E858" s="4" t="s">
        <v>23</v>
      </c>
      <c r="F858" s="6">
        <v>11</v>
      </c>
      <c r="G858" s="6">
        <v>180000</v>
      </c>
      <c r="H858" s="6">
        <v>1980000</v>
      </c>
      <c r="I858" s="6">
        <v>124826.06</v>
      </c>
      <c r="J858" s="6">
        <v>606913.34</v>
      </c>
      <c r="K858" t="s">
        <v>24</v>
      </c>
      <c r="L858" t="s">
        <v>29</v>
      </c>
      <c r="M858" t="s">
        <v>50</v>
      </c>
    </row>
    <row r="859" spans="1:13">
      <c r="A859" s="4" t="s">
        <v>1012</v>
      </c>
      <c r="B859" t="s">
        <v>331</v>
      </c>
      <c r="C859" s="2">
        <v>45718</v>
      </c>
      <c r="D859" s="4" t="s">
        <v>63</v>
      </c>
      <c r="E859" s="4" t="s">
        <v>16</v>
      </c>
      <c r="F859" s="6">
        <v>4</v>
      </c>
      <c r="G859" s="6">
        <v>5000</v>
      </c>
      <c r="H859" s="6">
        <v>20000</v>
      </c>
      <c r="I859" s="6">
        <v>3040.34</v>
      </c>
      <c r="J859" s="6">
        <v>7838.64</v>
      </c>
      <c r="K859" t="s">
        <v>71</v>
      </c>
      <c r="L859" t="s">
        <v>18</v>
      </c>
      <c r="M859" t="s">
        <v>30</v>
      </c>
    </row>
    <row r="860" spans="1:13">
      <c r="A860" s="4" t="s">
        <v>1013</v>
      </c>
      <c r="B860" t="s">
        <v>250</v>
      </c>
      <c r="C860" s="2">
        <v>45685</v>
      </c>
      <c r="D860" s="4" t="s">
        <v>63</v>
      </c>
      <c r="E860" s="4" t="s">
        <v>16</v>
      </c>
      <c r="F860" s="6">
        <v>2</v>
      </c>
      <c r="G860" s="6">
        <v>5000</v>
      </c>
      <c r="H860" s="6">
        <v>10000</v>
      </c>
      <c r="I860" s="6">
        <v>3178.57</v>
      </c>
      <c r="J860" s="6">
        <v>3642.86</v>
      </c>
      <c r="K860" t="s">
        <v>24</v>
      </c>
      <c r="L860" t="s">
        <v>53</v>
      </c>
      <c r="M860" t="s">
        <v>34</v>
      </c>
    </row>
    <row r="861" spans="1:13">
      <c r="A861" s="4" t="s">
        <v>1014</v>
      </c>
      <c r="B861" t="s">
        <v>127</v>
      </c>
      <c r="C861" s="2">
        <v>45777</v>
      </c>
      <c r="D861" s="4" t="s">
        <v>106</v>
      </c>
      <c r="E861" s="4" t="s">
        <v>23</v>
      </c>
      <c r="F861" s="6">
        <v>2</v>
      </c>
      <c r="G861" s="6">
        <v>120000</v>
      </c>
      <c r="H861" s="6">
        <v>240000</v>
      </c>
      <c r="I861" s="6">
        <v>73520.02</v>
      </c>
      <c r="J861" s="6">
        <v>92959.96</v>
      </c>
      <c r="K861" t="s">
        <v>33</v>
      </c>
      <c r="L861" t="s">
        <v>53</v>
      </c>
      <c r="M861" t="s">
        <v>50</v>
      </c>
    </row>
    <row r="862" spans="1:13">
      <c r="A862" s="4" t="s">
        <v>1015</v>
      </c>
      <c r="B862" t="s">
        <v>219</v>
      </c>
      <c r="C862" s="2">
        <v>45922</v>
      </c>
      <c r="D862" s="4" t="s">
        <v>28</v>
      </c>
      <c r="E862" s="4" t="s">
        <v>23</v>
      </c>
      <c r="F862" s="6">
        <v>5</v>
      </c>
      <c r="G862" s="6">
        <v>220000</v>
      </c>
      <c r="H862" s="6">
        <v>1100000</v>
      </c>
      <c r="I862" s="6">
        <v>178957.19</v>
      </c>
      <c r="J862" s="6">
        <v>205214.05</v>
      </c>
      <c r="K862" t="s">
        <v>33</v>
      </c>
      <c r="L862" t="s">
        <v>29</v>
      </c>
      <c r="M862" t="s">
        <v>19</v>
      </c>
    </row>
    <row r="863" spans="1:13">
      <c r="A863" s="4" t="s">
        <v>1016</v>
      </c>
      <c r="B863" t="s">
        <v>105</v>
      </c>
      <c r="C863" s="2">
        <v>45962</v>
      </c>
      <c r="D863" s="4" t="s">
        <v>22</v>
      </c>
      <c r="E863" s="4" t="s">
        <v>23</v>
      </c>
      <c r="F863" s="6">
        <v>7</v>
      </c>
      <c r="G863" s="6">
        <v>210000</v>
      </c>
      <c r="H863" s="6">
        <v>1470000</v>
      </c>
      <c r="I863" s="6">
        <v>123293.13</v>
      </c>
      <c r="J863" s="6">
        <v>606948.09</v>
      </c>
      <c r="K863" t="s">
        <v>80</v>
      </c>
      <c r="L863" t="s">
        <v>29</v>
      </c>
      <c r="M863" t="s">
        <v>50</v>
      </c>
    </row>
    <row r="864" spans="1:13">
      <c r="A864" s="4" t="s">
        <v>1017</v>
      </c>
      <c r="B864" t="s">
        <v>79</v>
      </c>
      <c r="C864" s="2">
        <v>45995</v>
      </c>
      <c r="D864" s="4" t="s">
        <v>22</v>
      </c>
      <c r="E864" s="4" t="s">
        <v>23</v>
      </c>
      <c r="F864" s="6">
        <v>3</v>
      </c>
      <c r="G864" s="6">
        <v>150000</v>
      </c>
      <c r="H864" s="6">
        <v>450000</v>
      </c>
      <c r="I864" s="6">
        <v>118277.47</v>
      </c>
      <c r="J864" s="6">
        <v>95167.59</v>
      </c>
      <c r="K864" t="s">
        <v>17</v>
      </c>
      <c r="L864" t="s">
        <v>29</v>
      </c>
      <c r="M864" t="s">
        <v>19</v>
      </c>
    </row>
    <row r="865" spans="1:13">
      <c r="A865" s="4" t="s">
        <v>1018</v>
      </c>
      <c r="B865" t="s">
        <v>169</v>
      </c>
      <c r="C865" s="2">
        <v>45817</v>
      </c>
      <c r="D865" s="4" t="s">
        <v>63</v>
      </c>
      <c r="E865" s="4" t="s">
        <v>16</v>
      </c>
      <c r="F865" s="6">
        <v>10</v>
      </c>
      <c r="G865" s="6">
        <v>7000</v>
      </c>
      <c r="H865" s="6">
        <v>70000</v>
      </c>
      <c r="I865" s="6">
        <v>5362.83</v>
      </c>
      <c r="J865" s="6">
        <v>16371.7</v>
      </c>
      <c r="K865" t="s">
        <v>80</v>
      </c>
      <c r="L865" t="s">
        <v>29</v>
      </c>
      <c r="M865" t="s">
        <v>25</v>
      </c>
    </row>
    <row r="866" spans="1:13">
      <c r="A866" s="4" t="s">
        <v>1019</v>
      </c>
      <c r="B866" t="s">
        <v>331</v>
      </c>
      <c r="C866" s="2">
        <v>45866</v>
      </c>
      <c r="D866" s="4" t="s">
        <v>37</v>
      </c>
      <c r="E866" s="4" t="s">
        <v>16</v>
      </c>
      <c r="F866" s="6">
        <v>12</v>
      </c>
      <c r="G866" s="6">
        <v>18000</v>
      </c>
      <c r="H866" s="6">
        <v>216000</v>
      </c>
      <c r="I866" s="6">
        <v>13721.01</v>
      </c>
      <c r="J866" s="6">
        <v>51347.88</v>
      </c>
      <c r="K866" t="s">
        <v>17</v>
      </c>
      <c r="L866" t="s">
        <v>18</v>
      </c>
      <c r="M866" t="s">
        <v>34</v>
      </c>
    </row>
    <row r="867" spans="1:13">
      <c r="A867" s="4" t="s">
        <v>1020</v>
      </c>
      <c r="B867" t="s">
        <v>123</v>
      </c>
      <c r="C867" s="2">
        <v>45872</v>
      </c>
      <c r="D867" s="4" t="s">
        <v>63</v>
      </c>
      <c r="E867" s="4" t="s">
        <v>16</v>
      </c>
      <c r="F867" s="6">
        <v>4</v>
      </c>
      <c r="G867" s="6">
        <v>7000</v>
      </c>
      <c r="H867" s="6">
        <v>28000</v>
      </c>
      <c r="I867" s="6">
        <v>5197.1099999999997</v>
      </c>
      <c r="J867" s="6">
        <v>7211.56</v>
      </c>
      <c r="K867" t="s">
        <v>71</v>
      </c>
      <c r="L867" t="s">
        <v>53</v>
      </c>
      <c r="M867" t="s">
        <v>19</v>
      </c>
    </row>
    <row r="868" spans="1:13">
      <c r="A868" s="4" t="s">
        <v>1021</v>
      </c>
      <c r="B868" t="s">
        <v>146</v>
      </c>
      <c r="C868" s="2">
        <v>45770</v>
      </c>
      <c r="D868" s="4" t="s">
        <v>419</v>
      </c>
      <c r="E868" s="4" t="s">
        <v>49</v>
      </c>
      <c r="F868" s="6">
        <v>10</v>
      </c>
      <c r="G868" s="6">
        <v>200000</v>
      </c>
      <c r="H868" s="6">
        <v>2000000</v>
      </c>
      <c r="I868" s="6">
        <v>132279.34</v>
      </c>
      <c r="J868" s="6">
        <v>677206.6</v>
      </c>
      <c r="K868" t="s">
        <v>80</v>
      </c>
      <c r="L868" t="s">
        <v>53</v>
      </c>
      <c r="M868" t="s">
        <v>19</v>
      </c>
    </row>
    <row r="869" spans="1:13">
      <c r="A869" s="4" t="s">
        <v>1022</v>
      </c>
      <c r="B869" t="s">
        <v>146</v>
      </c>
      <c r="C869" s="2">
        <v>45709</v>
      </c>
      <c r="D869" s="4" t="s">
        <v>52</v>
      </c>
      <c r="E869" s="4" t="s">
        <v>23</v>
      </c>
      <c r="F869" s="6">
        <v>11</v>
      </c>
      <c r="G869" s="6">
        <v>85000</v>
      </c>
      <c r="H869" s="6">
        <v>935000</v>
      </c>
      <c r="I869" s="6">
        <v>54807.53</v>
      </c>
      <c r="J869" s="6">
        <v>332117.17</v>
      </c>
      <c r="K869" t="s">
        <v>71</v>
      </c>
      <c r="L869" t="s">
        <v>29</v>
      </c>
      <c r="M869" t="s">
        <v>34</v>
      </c>
    </row>
    <row r="870" spans="1:13">
      <c r="A870" s="4" t="s">
        <v>1023</v>
      </c>
      <c r="B870" t="s">
        <v>117</v>
      </c>
      <c r="C870" s="2">
        <v>45802</v>
      </c>
      <c r="D870" s="4" t="s">
        <v>106</v>
      </c>
      <c r="E870" s="4" t="s">
        <v>23</v>
      </c>
      <c r="F870" s="6">
        <v>6</v>
      </c>
      <c r="G870" s="6">
        <v>150000</v>
      </c>
      <c r="H870" s="6">
        <v>900000</v>
      </c>
      <c r="I870" s="6">
        <v>121049.34</v>
      </c>
      <c r="J870" s="6">
        <v>173703.96</v>
      </c>
      <c r="K870" t="s">
        <v>17</v>
      </c>
      <c r="L870" t="s">
        <v>29</v>
      </c>
      <c r="M870" t="s">
        <v>38</v>
      </c>
    </row>
    <row r="871" spans="1:13">
      <c r="A871" s="4" t="s">
        <v>1024</v>
      </c>
      <c r="B871" t="s">
        <v>73</v>
      </c>
      <c r="C871" s="2">
        <v>45908</v>
      </c>
      <c r="D871" s="4" t="s">
        <v>66</v>
      </c>
      <c r="E871" s="4" t="s">
        <v>49</v>
      </c>
      <c r="F871" s="6">
        <v>3</v>
      </c>
      <c r="G871" s="6">
        <v>90000</v>
      </c>
      <c r="H871" s="6">
        <v>270000</v>
      </c>
      <c r="I871" s="6">
        <v>64412.59</v>
      </c>
      <c r="J871" s="6">
        <v>76762.23</v>
      </c>
      <c r="K871" t="s">
        <v>71</v>
      </c>
      <c r="L871" t="s">
        <v>29</v>
      </c>
      <c r="M871" t="s">
        <v>67</v>
      </c>
    </row>
    <row r="872" spans="1:13">
      <c r="A872" s="4" t="s">
        <v>1025</v>
      </c>
      <c r="B872" t="s">
        <v>14</v>
      </c>
      <c r="C872" s="2">
        <v>45848</v>
      </c>
      <c r="D872" s="4" t="s">
        <v>28</v>
      </c>
      <c r="E872" s="4" t="s">
        <v>23</v>
      </c>
      <c r="F872" s="6">
        <v>6</v>
      </c>
      <c r="G872" s="6">
        <v>220000</v>
      </c>
      <c r="H872" s="6">
        <v>1320000</v>
      </c>
      <c r="I872" s="6">
        <v>153272.78</v>
      </c>
      <c r="J872" s="6">
        <v>400363.32</v>
      </c>
      <c r="K872" t="s">
        <v>17</v>
      </c>
      <c r="L872" t="s">
        <v>29</v>
      </c>
      <c r="M872" t="s">
        <v>38</v>
      </c>
    </row>
    <row r="873" spans="1:13">
      <c r="A873" s="4" t="s">
        <v>1026</v>
      </c>
      <c r="B873" t="s">
        <v>141</v>
      </c>
      <c r="C873" s="2">
        <v>45899</v>
      </c>
      <c r="D873" s="4" t="s">
        <v>45</v>
      </c>
      <c r="E873" s="4" t="s">
        <v>23</v>
      </c>
      <c r="F873" s="6">
        <v>11</v>
      </c>
      <c r="G873" s="6">
        <v>450000</v>
      </c>
      <c r="H873" s="6">
        <v>4950000</v>
      </c>
      <c r="I873" s="6">
        <v>272440.11</v>
      </c>
      <c r="J873" s="6">
        <v>1953158.79</v>
      </c>
      <c r="K873" t="s">
        <v>17</v>
      </c>
      <c r="L873" t="s">
        <v>29</v>
      </c>
      <c r="M873" t="s">
        <v>30</v>
      </c>
    </row>
    <row r="874" spans="1:13">
      <c r="A874" s="4" t="s">
        <v>1027</v>
      </c>
      <c r="B874" t="s">
        <v>423</v>
      </c>
      <c r="C874" s="2">
        <v>45760</v>
      </c>
      <c r="D874" s="4" t="s">
        <v>22</v>
      </c>
      <c r="E874" s="4" t="s">
        <v>23</v>
      </c>
      <c r="F874" s="6">
        <v>5</v>
      </c>
      <c r="G874" s="6">
        <v>280000</v>
      </c>
      <c r="H874" s="6">
        <v>1400000</v>
      </c>
      <c r="I874" s="6">
        <v>227793.65</v>
      </c>
      <c r="J874" s="6">
        <v>261031.75</v>
      </c>
      <c r="K874" t="s">
        <v>80</v>
      </c>
      <c r="L874" t="s">
        <v>29</v>
      </c>
      <c r="M874" t="s">
        <v>50</v>
      </c>
    </row>
    <row r="875" spans="1:13">
      <c r="A875" s="4" t="s">
        <v>1028</v>
      </c>
      <c r="B875" t="s">
        <v>156</v>
      </c>
      <c r="C875" s="2">
        <v>45854</v>
      </c>
      <c r="D875" s="4" t="s">
        <v>63</v>
      </c>
      <c r="E875" s="4" t="s">
        <v>16</v>
      </c>
      <c r="F875" s="6">
        <v>12</v>
      </c>
      <c r="G875" s="6">
        <v>3000</v>
      </c>
      <c r="H875" s="6">
        <v>36000</v>
      </c>
      <c r="I875" s="6">
        <v>2309.16</v>
      </c>
      <c r="J875" s="6">
        <v>8290.08</v>
      </c>
      <c r="K875" t="s">
        <v>17</v>
      </c>
      <c r="L875" t="s">
        <v>18</v>
      </c>
      <c r="M875" t="s">
        <v>38</v>
      </c>
    </row>
    <row r="876" spans="1:13">
      <c r="A876" s="4" t="s">
        <v>1029</v>
      </c>
      <c r="B876" t="s">
        <v>115</v>
      </c>
      <c r="C876" s="2">
        <v>45771</v>
      </c>
      <c r="D876" s="4" t="s">
        <v>28</v>
      </c>
      <c r="E876" s="4" t="s">
        <v>23</v>
      </c>
      <c r="F876" s="6">
        <v>3</v>
      </c>
      <c r="G876" s="6">
        <v>300000</v>
      </c>
      <c r="H876" s="6">
        <v>900000</v>
      </c>
      <c r="I876" s="6">
        <v>184249.87</v>
      </c>
      <c r="J876" s="6">
        <v>347250.39</v>
      </c>
      <c r="K876" t="s">
        <v>24</v>
      </c>
      <c r="L876" t="s">
        <v>53</v>
      </c>
      <c r="M876" t="s">
        <v>50</v>
      </c>
    </row>
    <row r="877" spans="1:13">
      <c r="A877" s="4" t="s">
        <v>1030</v>
      </c>
      <c r="B877" t="s">
        <v>450</v>
      </c>
      <c r="C877" s="2">
        <v>45928</v>
      </c>
      <c r="D877" s="4" t="s">
        <v>52</v>
      </c>
      <c r="E877" s="4" t="s">
        <v>23</v>
      </c>
      <c r="F877" s="6">
        <v>1</v>
      </c>
      <c r="G877" s="6">
        <v>85000</v>
      </c>
      <c r="H877" s="6">
        <v>85000</v>
      </c>
      <c r="I877" s="6">
        <v>65968.92</v>
      </c>
      <c r="J877" s="6">
        <v>19031.080000000002</v>
      </c>
      <c r="K877" t="s">
        <v>17</v>
      </c>
      <c r="L877" t="s">
        <v>53</v>
      </c>
      <c r="M877" t="s">
        <v>19</v>
      </c>
    </row>
    <row r="878" spans="1:13">
      <c r="A878" s="4" t="s">
        <v>1031</v>
      </c>
      <c r="B878" t="s">
        <v>125</v>
      </c>
      <c r="C878" s="2">
        <v>45989</v>
      </c>
      <c r="D878" s="4" t="s">
        <v>37</v>
      </c>
      <c r="E878" s="4" t="s">
        <v>16</v>
      </c>
      <c r="F878" s="6">
        <v>11</v>
      </c>
      <c r="G878" s="6">
        <v>25000</v>
      </c>
      <c r="H878" s="6">
        <v>275000</v>
      </c>
      <c r="I878" s="6">
        <v>15430.42</v>
      </c>
      <c r="J878" s="6">
        <v>105265.38</v>
      </c>
      <c r="K878" t="s">
        <v>33</v>
      </c>
      <c r="L878" t="s">
        <v>18</v>
      </c>
      <c r="M878" t="s">
        <v>38</v>
      </c>
    </row>
    <row r="879" spans="1:13">
      <c r="A879" s="4" t="s">
        <v>1032</v>
      </c>
      <c r="B879" t="s">
        <v>111</v>
      </c>
      <c r="C879" s="2">
        <v>45673</v>
      </c>
      <c r="D879" s="4" t="s">
        <v>349</v>
      </c>
      <c r="E879" s="4" t="s">
        <v>23</v>
      </c>
      <c r="F879" s="6">
        <v>8</v>
      </c>
      <c r="G879" s="6">
        <v>45000</v>
      </c>
      <c r="H879" s="6">
        <v>360000</v>
      </c>
      <c r="I879" s="6">
        <v>31861.45</v>
      </c>
      <c r="J879" s="6">
        <v>105108.4</v>
      </c>
      <c r="K879" t="s">
        <v>80</v>
      </c>
      <c r="L879" t="s">
        <v>18</v>
      </c>
      <c r="M879" t="s">
        <v>19</v>
      </c>
    </row>
    <row r="880" spans="1:13">
      <c r="A880" s="4" t="s">
        <v>1033</v>
      </c>
      <c r="B880" t="s">
        <v>14</v>
      </c>
      <c r="C880" s="2">
        <v>45803</v>
      </c>
      <c r="D880" s="4" t="s">
        <v>37</v>
      </c>
      <c r="E880" s="4" t="s">
        <v>16</v>
      </c>
      <c r="F880" s="6">
        <v>8</v>
      </c>
      <c r="G880" s="6">
        <v>25000</v>
      </c>
      <c r="H880" s="6">
        <v>200000</v>
      </c>
      <c r="I880" s="6">
        <v>15258.47</v>
      </c>
      <c r="J880" s="6">
        <v>77932.240000000005</v>
      </c>
      <c r="K880" t="s">
        <v>71</v>
      </c>
      <c r="L880" t="s">
        <v>53</v>
      </c>
      <c r="M880" t="s">
        <v>67</v>
      </c>
    </row>
    <row r="881" spans="1:13">
      <c r="A881" s="4" t="s">
        <v>1034</v>
      </c>
      <c r="B881" t="s">
        <v>113</v>
      </c>
      <c r="C881" s="2">
        <v>45698</v>
      </c>
      <c r="D881" s="4" t="s">
        <v>106</v>
      </c>
      <c r="E881" s="4" t="s">
        <v>23</v>
      </c>
      <c r="F881" s="6">
        <v>4</v>
      </c>
      <c r="G881" s="6">
        <v>120000</v>
      </c>
      <c r="H881" s="6">
        <v>480000</v>
      </c>
      <c r="I881" s="6">
        <v>80547.64</v>
      </c>
      <c r="J881" s="6">
        <v>157809.44</v>
      </c>
      <c r="K881" t="s">
        <v>24</v>
      </c>
      <c r="L881" t="s">
        <v>53</v>
      </c>
      <c r="M881" t="s">
        <v>19</v>
      </c>
    </row>
    <row r="882" spans="1:13">
      <c r="A882" s="4" t="s">
        <v>1035</v>
      </c>
      <c r="B882" t="s">
        <v>58</v>
      </c>
      <c r="C882" s="2">
        <v>45670</v>
      </c>
      <c r="D882" s="4" t="s">
        <v>70</v>
      </c>
      <c r="E882" s="4" t="s">
        <v>16</v>
      </c>
      <c r="F882" s="6">
        <v>10</v>
      </c>
      <c r="G882" s="6">
        <v>35000</v>
      </c>
      <c r="H882" s="6">
        <v>350000</v>
      </c>
      <c r="I882" s="6">
        <v>28154.51</v>
      </c>
      <c r="J882" s="6">
        <v>68454.899999999994</v>
      </c>
      <c r="K882" t="s">
        <v>71</v>
      </c>
      <c r="L882" t="s">
        <v>53</v>
      </c>
      <c r="M882" t="s">
        <v>30</v>
      </c>
    </row>
    <row r="883" spans="1:13">
      <c r="A883" s="4" t="s">
        <v>1036</v>
      </c>
      <c r="B883" t="s">
        <v>125</v>
      </c>
      <c r="C883" s="2">
        <v>45849</v>
      </c>
      <c r="D883" s="4" t="s">
        <v>56</v>
      </c>
      <c r="E883" s="4" t="s">
        <v>23</v>
      </c>
      <c r="F883" s="6">
        <v>9</v>
      </c>
      <c r="G883" s="6">
        <v>70000</v>
      </c>
      <c r="H883" s="6">
        <v>630000</v>
      </c>
      <c r="I883" s="6">
        <v>48719.39</v>
      </c>
      <c r="J883" s="6">
        <v>191525.49</v>
      </c>
      <c r="K883" t="s">
        <v>80</v>
      </c>
      <c r="L883" t="s">
        <v>29</v>
      </c>
      <c r="M883" t="s">
        <v>25</v>
      </c>
    </row>
    <row r="884" spans="1:13">
      <c r="A884" s="4" t="s">
        <v>1037</v>
      </c>
      <c r="B884" t="s">
        <v>359</v>
      </c>
      <c r="C884" s="2">
        <v>45884</v>
      </c>
      <c r="D884" s="4" t="s">
        <v>66</v>
      </c>
      <c r="E884" s="4" t="s">
        <v>49</v>
      </c>
      <c r="F884" s="6">
        <v>8</v>
      </c>
      <c r="G884" s="6">
        <v>175000</v>
      </c>
      <c r="H884" s="6">
        <v>1400000</v>
      </c>
      <c r="I884" s="6">
        <v>110475.46</v>
      </c>
      <c r="J884" s="6">
        <v>516196.32</v>
      </c>
      <c r="K884" t="s">
        <v>71</v>
      </c>
      <c r="L884" t="s">
        <v>18</v>
      </c>
      <c r="M884" t="s">
        <v>67</v>
      </c>
    </row>
    <row r="885" spans="1:13">
      <c r="A885" s="4" t="s">
        <v>1038</v>
      </c>
      <c r="B885" t="s">
        <v>174</v>
      </c>
      <c r="C885" s="2">
        <v>45931</v>
      </c>
      <c r="D885" s="4" t="s">
        <v>15</v>
      </c>
      <c r="E885" s="4" t="s">
        <v>16</v>
      </c>
      <c r="F885" s="6">
        <v>12</v>
      </c>
      <c r="G885" s="6">
        <v>8000</v>
      </c>
      <c r="H885" s="6">
        <v>96000</v>
      </c>
      <c r="I885" s="6">
        <v>4953.7299999999996</v>
      </c>
      <c r="J885" s="6">
        <f>H885 - (F885 * I885)</f>
        <v>36555.240000000005</v>
      </c>
      <c r="K885" t="s">
        <v>24</v>
      </c>
      <c r="L885" t="s">
        <v>18</v>
      </c>
      <c r="M885" t="s">
        <v>38</v>
      </c>
    </row>
    <row r="886" spans="1:13">
      <c r="A886" s="4" t="s">
        <v>1039</v>
      </c>
      <c r="B886" t="s">
        <v>302</v>
      </c>
      <c r="C886" s="2">
        <v>46009</v>
      </c>
      <c r="D886" s="4" t="s">
        <v>52</v>
      </c>
      <c r="E886" s="4" t="s">
        <v>23</v>
      </c>
      <c r="F886" s="6">
        <v>1</v>
      </c>
      <c r="G886" s="6">
        <v>45000</v>
      </c>
      <c r="H886" s="6">
        <v>45000</v>
      </c>
      <c r="I886" s="6">
        <v>27711.33</v>
      </c>
      <c r="J886" s="6">
        <v>17288.669999999998</v>
      </c>
      <c r="K886" t="s">
        <v>24</v>
      </c>
      <c r="L886" t="s">
        <v>53</v>
      </c>
      <c r="M886" t="s">
        <v>50</v>
      </c>
    </row>
    <row r="887" spans="1:13">
      <c r="A887" s="4" t="s">
        <v>1040</v>
      </c>
      <c r="B887" t="s">
        <v>193</v>
      </c>
      <c r="C887" s="2">
        <v>45769</v>
      </c>
      <c r="D887" s="4" t="s">
        <v>37</v>
      </c>
      <c r="E887" s="4" t="s">
        <v>16</v>
      </c>
      <c r="F887" s="6">
        <v>10</v>
      </c>
      <c r="G887" s="6">
        <v>25000</v>
      </c>
      <c r="H887" s="6">
        <v>250000</v>
      </c>
      <c r="I887" s="6">
        <v>17354.27</v>
      </c>
      <c r="J887" s="6">
        <v>76457.3</v>
      </c>
      <c r="K887" t="s">
        <v>80</v>
      </c>
      <c r="L887" t="s">
        <v>53</v>
      </c>
      <c r="M887" t="s">
        <v>25</v>
      </c>
    </row>
    <row r="888" spans="1:13">
      <c r="A888" s="4" t="s">
        <v>1041</v>
      </c>
      <c r="B888" t="s">
        <v>69</v>
      </c>
      <c r="C888" s="2">
        <v>45945</v>
      </c>
      <c r="D888" s="4" t="s">
        <v>70</v>
      </c>
      <c r="E888" s="4" t="s">
        <v>16</v>
      </c>
      <c r="F888" s="6">
        <v>7</v>
      </c>
      <c r="G888" s="6">
        <v>22000</v>
      </c>
      <c r="H888" s="6">
        <v>154000</v>
      </c>
      <c r="I888" s="6">
        <v>14079.45</v>
      </c>
      <c r="J888" s="6">
        <v>55443.85</v>
      </c>
      <c r="K888" t="s">
        <v>80</v>
      </c>
      <c r="L888" t="s">
        <v>29</v>
      </c>
      <c r="M888" t="s">
        <v>50</v>
      </c>
    </row>
    <row r="889" spans="1:13">
      <c r="A889" s="4" t="s">
        <v>1042</v>
      </c>
      <c r="B889" t="s">
        <v>224</v>
      </c>
      <c r="C889" s="2">
        <v>45780</v>
      </c>
      <c r="D889" s="4" t="s">
        <v>37</v>
      </c>
      <c r="E889" s="4" t="s">
        <v>16</v>
      </c>
      <c r="F889" s="6">
        <v>8</v>
      </c>
      <c r="G889" s="6">
        <v>25000</v>
      </c>
      <c r="H889" s="6">
        <v>200000</v>
      </c>
      <c r="I889" s="6">
        <v>19110.09</v>
      </c>
      <c r="J889" s="6">
        <v>47119.28</v>
      </c>
      <c r="K889" t="s">
        <v>80</v>
      </c>
      <c r="L889" t="s">
        <v>53</v>
      </c>
      <c r="M889" t="s">
        <v>30</v>
      </c>
    </row>
    <row r="890" spans="1:13">
      <c r="A890" s="4" t="s">
        <v>1043</v>
      </c>
      <c r="B890" t="s">
        <v>32</v>
      </c>
      <c r="C890" s="2">
        <v>46016</v>
      </c>
      <c r="D890" s="4" t="s">
        <v>45</v>
      </c>
      <c r="E890" s="4" t="s">
        <v>23</v>
      </c>
      <c r="F890" s="6">
        <v>10</v>
      </c>
      <c r="G890" s="6">
        <v>650000</v>
      </c>
      <c r="H890" s="6">
        <v>6500000</v>
      </c>
      <c r="I890" s="6">
        <v>458519.67</v>
      </c>
      <c r="J890" s="6">
        <v>1914803.3</v>
      </c>
      <c r="K890" t="s">
        <v>17</v>
      </c>
      <c r="L890" t="s">
        <v>29</v>
      </c>
      <c r="M890" t="s">
        <v>50</v>
      </c>
    </row>
    <row r="891" spans="1:13">
      <c r="A891" s="4" t="s">
        <v>1044</v>
      </c>
      <c r="B891" t="s">
        <v>149</v>
      </c>
      <c r="C891" s="2">
        <v>45971</v>
      </c>
      <c r="D891" s="4" t="s">
        <v>37</v>
      </c>
      <c r="E891" s="4" t="s">
        <v>16</v>
      </c>
      <c r="F891" s="6">
        <v>5</v>
      </c>
      <c r="G891" s="6">
        <v>25000</v>
      </c>
      <c r="H891" s="6">
        <v>125000</v>
      </c>
      <c r="I891" s="6">
        <v>19998.87</v>
      </c>
      <c r="J891" s="6">
        <v>25005.65</v>
      </c>
      <c r="K891" t="s">
        <v>71</v>
      </c>
      <c r="L891" t="s">
        <v>53</v>
      </c>
      <c r="M891" t="s">
        <v>50</v>
      </c>
    </row>
    <row r="892" spans="1:13">
      <c r="A892" s="4" t="s">
        <v>1045</v>
      </c>
      <c r="B892" t="s">
        <v>231</v>
      </c>
      <c r="C892" s="2">
        <v>45814</v>
      </c>
      <c r="D892" s="4" t="s">
        <v>28</v>
      </c>
      <c r="E892" s="4" t="s">
        <v>23</v>
      </c>
      <c r="F892" s="6">
        <v>4</v>
      </c>
      <c r="G892" s="6">
        <v>300000</v>
      </c>
      <c r="H892" s="6">
        <v>1200000</v>
      </c>
      <c r="I892" s="6">
        <v>227382.99</v>
      </c>
      <c r="J892" s="6">
        <v>290468.03999999998</v>
      </c>
      <c r="K892" t="s">
        <v>24</v>
      </c>
      <c r="L892" t="s">
        <v>53</v>
      </c>
      <c r="M892" t="s">
        <v>30</v>
      </c>
    </row>
    <row r="893" spans="1:13">
      <c r="A893" s="4" t="s">
        <v>1046</v>
      </c>
      <c r="B893" t="s">
        <v>69</v>
      </c>
      <c r="C893" s="2">
        <v>45722</v>
      </c>
      <c r="D893" s="4" t="s">
        <v>52</v>
      </c>
      <c r="E893" s="4" t="s">
        <v>23</v>
      </c>
      <c r="F893" s="6">
        <v>12</v>
      </c>
      <c r="G893" s="6">
        <v>45000</v>
      </c>
      <c r="H893" s="6">
        <v>540000</v>
      </c>
      <c r="I893" s="6">
        <v>28796.51</v>
      </c>
      <c r="J893" s="6">
        <v>194441.88</v>
      </c>
      <c r="K893" t="s">
        <v>24</v>
      </c>
      <c r="L893" t="s">
        <v>53</v>
      </c>
      <c r="M893" t="s">
        <v>34</v>
      </c>
    </row>
    <row r="894" spans="1:13">
      <c r="A894" s="4" t="s">
        <v>1047</v>
      </c>
      <c r="B894" t="s">
        <v>423</v>
      </c>
      <c r="C894" s="2">
        <v>45920</v>
      </c>
      <c r="D894" s="4" t="s">
        <v>48</v>
      </c>
      <c r="E894" s="4" t="s">
        <v>49</v>
      </c>
      <c r="F894" s="6">
        <v>7</v>
      </c>
      <c r="G894" s="6">
        <v>100000</v>
      </c>
      <c r="H894" s="6">
        <v>700000</v>
      </c>
      <c r="I894" s="6">
        <v>58630.29</v>
      </c>
      <c r="J894" s="6">
        <v>289587.96999999997</v>
      </c>
      <c r="K894" t="s">
        <v>33</v>
      </c>
      <c r="L894" t="s">
        <v>53</v>
      </c>
      <c r="M894" t="s">
        <v>25</v>
      </c>
    </row>
    <row r="895" spans="1:13">
      <c r="A895" s="4" t="s">
        <v>1048</v>
      </c>
      <c r="B895" t="s">
        <v>536</v>
      </c>
      <c r="C895" s="2">
        <v>45980</v>
      </c>
      <c r="D895" s="4" t="s">
        <v>70</v>
      </c>
      <c r="E895" s="4" t="s">
        <v>16</v>
      </c>
      <c r="F895" s="6">
        <v>10</v>
      </c>
      <c r="G895" s="6">
        <v>15000</v>
      </c>
      <c r="H895" s="6">
        <v>150000</v>
      </c>
      <c r="I895" s="6">
        <v>11286.05</v>
      </c>
      <c r="J895" s="6">
        <v>37139.5</v>
      </c>
      <c r="K895" t="s">
        <v>80</v>
      </c>
      <c r="L895" t="s">
        <v>29</v>
      </c>
      <c r="M895" t="s">
        <v>50</v>
      </c>
    </row>
    <row r="896" spans="1:13">
      <c r="A896" s="4" t="s">
        <v>1049</v>
      </c>
      <c r="B896" t="s">
        <v>14</v>
      </c>
      <c r="C896" s="2">
        <v>45958</v>
      </c>
      <c r="D896" s="4" t="s">
        <v>22</v>
      </c>
      <c r="E896" s="4" t="s">
        <v>23</v>
      </c>
      <c r="F896" s="6">
        <v>4</v>
      </c>
      <c r="G896" s="6">
        <v>150000</v>
      </c>
      <c r="H896" s="6">
        <v>600000</v>
      </c>
      <c r="I896" s="6">
        <v>88827.56</v>
      </c>
      <c r="J896" s="6">
        <v>244689.76</v>
      </c>
      <c r="K896" t="s">
        <v>71</v>
      </c>
      <c r="L896" t="s">
        <v>18</v>
      </c>
      <c r="M896" t="s">
        <v>50</v>
      </c>
    </row>
    <row r="897" spans="1:13">
      <c r="A897" s="4" t="s">
        <v>1050</v>
      </c>
      <c r="B897" t="s">
        <v>100</v>
      </c>
      <c r="C897" s="2">
        <v>45905</v>
      </c>
      <c r="D897" s="4" t="s">
        <v>48</v>
      </c>
      <c r="E897" s="4" t="s">
        <v>49</v>
      </c>
      <c r="F897" s="6">
        <v>6</v>
      </c>
      <c r="G897" s="6">
        <v>140000</v>
      </c>
      <c r="H897" s="6">
        <v>840000</v>
      </c>
      <c r="I897" s="6">
        <v>99744.43</v>
      </c>
      <c r="J897" s="6">
        <v>241533.42</v>
      </c>
      <c r="K897" t="s">
        <v>80</v>
      </c>
      <c r="L897" t="s">
        <v>29</v>
      </c>
      <c r="M897" t="s">
        <v>19</v>
      </c>
    </row>
    <row r="898" spans="1:13">
      <c r="A898" s="4" t="s">
        <v>1051</v>
      </c>
      <c r="B898" t="s">
        <v>105</v>
      </c>
      <c r="C898" s="2">
        <v>45939</v>
      </c>
      <c r="D898" s="4" t="s">
        <v>66</v>
      </c>
      <c r="E898" s="4" t="s">
        <v>49</v>
      </c>
      <c r="F898" s="6">
        <v>9</v>
      </c>
      <c r="G898" s="6">
        <v>90000</v>
      </c>
      <c r="H898" s="6">
        <v>810000</v>
      </c>
      <c r="I898" s="6">
        <v>64570.62</v>
      </c>
      <c r="J898" s="6">
        <v>228864.42</v>
      </c>
      <c r="K898" t="s">
        <v>33</v>
      </c>
      <c r="L898" t="s">
        <v>29</v>
      </c>
      <c r="M898" t="s">
        <v>25</v>
      </c>
    </row>
    <row r="899" spans="1:13">
      <c r="A899" s="4" t="s">
        <v>1052</v>
      </c>
      <c r="B899" t="s">
        <v>42</v>
      </c>
      <c r="C899" s="2">
        <v>45832</v>
      </c>
      <c r="D899" s="4" t="s">
        <v>52</v>
      </c>
      <c r="E899" s="4" t="s">
        <v>23</v>
      </c>
      <c r="F899" s="6">
        <v>1</v>
      </c>
      <c r="G899" s="6">
        <v>65000</v>
      </c>
      <c r="H899" s="6">
        <v>65000</v>
      </c>
      <c r="I899" s="6">
        <v>50528.36</v>
      </c>
      <c r="J899" s="6">
        <v>14471.64</v>
      </c>
      <c r="K899" t="s">
        <v>80</v>
      </c>
      <c r="L899" t="s">
        <v>29</v>
      </c>
      <c r="M899" t="s">
        <v>38</v>
      </c>
    </row>
    <row r="900" spans="1:13">
      <c r="A900" s="4" t="s">
        <v>1053</v>
      </c>
      <c r="B900" t="s">
        <v>154</v>
      </c>
      <c r="C900" s="2">
        <v>45734</v>
      </c>
      <c r="D900" s="4" t="s">
        <v>48</v>
      </c>
      <c r="E900" s="4" t="s">
        <v>49</v>
      </c>
      <c r="F900" s="6">
        <v>3</v>
      </c>
      <c r="G900" s="6">
        <v>140000</v>
      </c>
      <c r="H900" s="6">
        <v>420000</v>
      </c>
      <c r="I900" s="6">
        <v>109910.73</v>
      </c>
      <c r="J900" s="6">
        <v>90267.81</v>
      </c>
      <c r="K900" t="s">
        <v>17</v>
      </c>
      <c r="L900" t="s">
        <v>18</v>
      </c>
      <c r="M900" t="s">
        <v>50</v>
      </c>
    </row>
    <row r="901" spans="1:13">
      <c r="A901" s="4" t="s">
        <v>1054</v>
      </c>
      <c r="B901" t="s">
        <v>302</v>
      </c>
      <c r="C901" s="2">
        <v>45984</v>
      </c>
      <c r="D901" s="4" t="s">
        <v>37</v>
      </c>
      <c r="E901" s="4" t="s">
        <v>16</v>
      </c>
      <c r="F901" s="6">
        <v>7</v>
      </c>
      <c r="G901" s="6">
        <v>12000</v>
      </c>
      <c r="H901" s="6">
        <v>84000</v>
      </c>
      <c r="I901" s="6">
        <v>9465.36</v>
      </c>
      <c r="J901" s="6">
        <v>17742.48</v>
      </c>
      <c r="K901" t="s">
        <v>33</v>
      </c>
      <c r="L901" t="s">
        <v>29</v>
      </c>
      <c r="M901" t="s">
        <v>50</v>
      </c>
    </row>
    <row r="902" spans="1:13">
      <c r="A902" s="4" t="s">
        <v>1055</v>
      </c>
      <c r="B902" t="s">
        <v>222</v>
      </c>
      <c r="C902" s="2">
        <v>45915</v>
      </c>
      <c r="D902" s="4" t="s">
        <v>15</v>
      </c>
      <c r="E902" s="4" t="s">
        <v>16</v>
      </c>
      <c r="F902" s="6">
        <v>1</v>
      </c>
      <c r="G902" s="6">
        <v>8000</v>
      </c>
      <c r="H902" s="6">
        <v>8000</v>
      </c>
      <c r="I902" s="6">
        <v>5288.45</v>
      </c>
      <c r="J902" s="6">
        <v>2711.55</v>
      </c>
      <c r="K902" t="s">
        <v>33</v>
      </c>
      <c r="L902" t="s">
        <v>53</v>
      </c>
      <c r="M902" t="s">
        <v>67</v>
      </c>
    </row>
    <row r="903" spans="1:13">
      <c r="A903" s="4" t="s">
        <v>1056</v>
      </c>
      <c r="B903" t="s">
        <v>79</v>
      </c>
      <c r="C903" s="2">
        <v>45692</v>
      </c>
      <c r="D903" s="4" t="s">
        <v>45</v>
      </c>
      <c r="E903" s="4" t="s">
        <v>23</v>
      </c>
      <c r="F903" s="6">
        <v>8</v>
      </c>
      <c r="G903" s="6">
        <v>650000</v>
      </c>
      <c r="H903" s="6">
        <v>5200000</v>
      </c>
      <c r="I903" s="6">
        <v>381172.83</v>
      </c>
      <c r="J903" s="6">
        <v>2150617.36</v>
      </c>
      <c r="K903" t="s">
        <v>80</v>
      </c>
      <c r="L903" t="s">
        <v>18</v>
      </c>
      <c r="M903" t="s">
        <v>38</v>
      </c>
    </row>
    <row r="904" spans="1:13">
      <c r="A904" s="4" t="s">
        <v>1057</v>
      </c>
      <c r="B904" t="s">
        <v>187</v>
      </c>
      <c r="C904" s="2">
        <v>45890</v>
      </c>
      <c r="D904" s="4" t="s">
        <v>22</v>
      </c>
      <c r="E904" s="4" t="s">
        <v>23</v>
      </c>
      <c r="F904" s="6">
        <v>1</v>
      </c>
      <c r="G904" s="6">
        <v>150000</v>
      </c>
      <c r="H904" s="6">
        <v>150000</v>
      </c>
      <c r="I904" s="6">
        <v>113655.01</v>
      </c>
      <c r="J904" s="6">
        <v>36344.99</v>
      </c>
      <c r="K904" t="s">
        <v>71</v>
      </c>
      <c r="L904" t="s">
        <v>53</v>
      </c>
      <c r="M904" t="s">
        <v>34</v>
      </c>
    </row>
    <row r="905" spans="1:13">
      <c r="A905" s="4" t="s">
        <v>1058</v>
      </c>
      <c r="B905" t="s">
        <v>21</v>
      </c>
      <c r="C905" s="2">
        <v>45990</v>
      </c>
      <c r="D905" s="4" t="s">
        <v>56</v>
      </c>
      <c r="E905" s="4" t="s">
        <v>23</v>
      </c>
      <c r="F905" s="6">
        <v>3</v>
      </c>
      <c r="G905" s="6">
        <v>70000</v>
      </c>
      <c r="H905" s="6">
        <v>210000</v>
      </c>
      <c r="I905" s="6">
        <v>52120.66</v>
      </c>
      <c r="J905" s="6">
        <v>53638.02</v>
      </c>
      <c r="K905" t="s">
        <v>80</v>
      </c>
      <c r="L905" t="s">
        <v>29</v>
      </c>
      <c r="M905" t="s">
        <v>34</v>
      </c>
    </row>
    <row r="906" spans="1:13">
      <c r="A906" s="4" t="s">
        <v>1059</v>
      </c>
      <c r="B906" t="s">
        <v>308</v>
      </c>
      <c r="C906" s="2">
        <v>45861</v>
      </c>
      <c r="D906" s="4" t="s">
        <v>56</v>
      </c>
      <c r="E906" s="4" t="s">
        <v>23</v>
      </c>
      <c r="F906" s="6">
        <v>12</v>
      </c>
      <c r="G906" s="6">
        <v>30000</v>
      </c>
      <c r="H906" s="6">
        <v>360000</v>
      </c>
      <c r="I906" s="6">
        <v>23555.99</v>
      </c>
      <c r="J906" s="6">
        <v>77328.12</v>
      </c>
      <c r="K906" t="s">
        <v>17</v>
      </c>
      <c r="L906" t="s">
        <v>18</v>
      </c>
      <c r="M906" t="s">
        <v>50</v>
      </c>
    </row>
    <row r="907" spans="1:13">
      <c r="A907" s="4" t="s">
        <v>1060</v>
      </c>
      <c r="B907" t="s">
        <v>335</v>
      </c>
      <c r="C907" s="2">
        <v>46008</v>
      </c>
      <c r="D907" s="4" t="s">
        <v>56</v>
      </c>
      <c r="E907" s="4" t="s">
        <v>23</v>
      </c>
      <c r="F907" s="6">
        <v>12</v>
      </c>
      <c r="G907" s="6">
        <v>30000</v>
      </c>
      <c r="H907" s="6">
        <v>360000</v>
      </c>
      <c r="I907" s="6">
        <v>18557.310000000001</v>
      </c>
      <c r="J907" s="6">
        <v>137312.28</v>
      </c>
      <c r="K907" t="s">
        <v>17</v>
      </c>
      <c r="L907" t="s">
        <v>53</v>
      </c>
      <c r="M907" t="s">
        <v>34</v>
      </c>
    </row>
    <row r="908" spans="1:13">
      <c r="A908" s="4" t="s">
        <v>1061</v>
      </c>
      <c r="B908" t="s">
        <v>113</v>
      </c>
      <c r="C908" s="2">
        <v>45968</v>
      </c>
      <c r="D908" s="4" t="s">
        <v>56</v>
      </c>
      <c r="E908" s="4" t="s">
        <v>23</v>
      </c>
      <c r="F908" s="6">
        <v>3</v>
      </c>
      <c r="G908" s="6">
        <v>30000</v>
      </c>
      <c r="H908" s="6">
        <v>90000</v>
      </c>
      <c r="I908" s="6">
        <v>21034.3</v>
      </c>
      <c r="J908" s="6">
        <v>26897.1</v>
      </c>
      <c r="K908" t="s">
        <v>80</v>
      </c>
      <c r="L908" t="s">
        <v>18</v>
      </c>
      <c r="M908" t="s">
        <v>30</v>
      </c>
    </row>
    <row r="909" spans="1:13">
      <c r="A909" s="4" t="s">
        <v>1062</v>
      </c>
      <c r="B909" t="s">
        <v>36</v>
      </c>
      <c r="C909" s="2">
        <v>45708</v>
      </c>
      <c r="D909" s="4" t="s">
        <v>37</v>
      </c>
      <c r="E909" s="4" t="s">
        <v>16</v>
      </c>
      <c r="F909" s="6">
        <v>4</v>
      </c>
      <c r="G909" s="6">
        <v>25000</v>
      </c>
      <c r="H909" s="6">
        <v>100000</v>
      </c>
      <c r="I909" s="6">
        <v>16975.57</v>
      </c>
      <c r="J909" s="6">
        <v>32097.72</v>
      </c>
      <c r="K909" t="s">
        <v>80</v>
      </c>
      <c r="L909" t="s">
        <v>53</v>
      </c>
      <c r="M909" t="s">
        <v>67</v>
      </c>
    </row>
    <row r="910" spans="1:13">
      <c r="A910" s="4" t="s">
        <v>1063</v>
      </c>
      <c r="B910" t="s">
        <v>343</v>
      </c>
      <c r="C910" s="2">
        <v>45801</v>
      </c>
      <c r="D910" s="4" t="s">
        <v>48</v>
      </c>
      <c r="E910" s="4" t="s">
        <v>49</v>
      </c>
      <c r="F910" s="6">
        <v>10</v>
      </c>
      <c r="G910" s="6">
        <v>200000</v>
      </c>
      <c r="H910" s="6">
        <v>2000000</v>
      </c>
      <c r="I910" s="6">
        <v>145330.07</v>
      </c>
      <c r="J910" s="6">
        <v>546699.30000000005</v>
      </c>
      <c r="K910" t="s">
        <v>17</v>
      </c>
      <c r="L910" t="s">
        <v>29</v>
      </c>
      <c r="M910" t="s">
        <v>19</v>
      </c>
    </row>
    <row r="911" spans="1:13">
      <c r="A911" s="4" t="s">
        <v>1064</v>
      </c>
      <c r="B911" t="s">
        <v>499</v>
      </c>
      <c r="C911" s="2">
        <v>45894</v>
      </c>
      <c r="D911" s="4" t="s">
        <v>70</v>
      </c>
      <c r="E911" s="4" t="s">
        <v>16</v>
      </c>
      <c r="F911" s="6">
        <v>10</v>
      </c>
      <c r="G911" s="6">
        <v>35000</v>
      </c>
      <c r="H911" s="6">
        <v>350000</v>
      </c>
      <c r="I911" s="6">
        <v>28315.54</v>
      </c>
      <c r="J911" s="6">
        <v>66844.600000000006</v>
      </c>
      <c r="K911" t="s">
        <v>17</v>
      </c>
      <c r="L911" t="s">
        <v>29</v>
      </c>
      <c r="M911" t="s">
        <v>34</v>
      </c>
    </row>
    <row r="912" spans="1:13">
      <c r="A912" s="4" t="s">
        <v>1065</v>
      </c>
      <c r="B912" t="s">
        <v>100</v>
      </c>
      <c r="C912" s="2">
        <v>45664</v>
      </c>
      <c r="D912" s="4" t="s">
        <v>106</v>
      </c>
      <c r="E912" s="4" t="s">
        <v>23</v>
      </c>
      <c r="F912" s="6">
        <v>8</v>
      </c>
      <c r="G912" s="6">
        <v>150000</v>
      </c>
      <c r="H912" s="6">
        <v>1200000</v>
      </c>
      <c r="I912" s="6">
        <v>117794.8</v>
      </c>
      <c r="J912" s="6">
        <v>257641.60000000001</v>
      </c>
      <c r="K912" t="s">
        <v>17</v>
      </c>
      <c r="L912" t="s">
        <v>18</v>
      </c>
      <c r="M912" t="s">
        <v>30</v>
      </c>
    </row>
    <row r="913" spans="1:13">
      <c r="A913" s="4" t="s">
        <v>1066</v>
      </c>
      <c r="B913" t="s">
        <v>302</v>
      </c>
      <c r="C913" s="2">
        <v>45811</v>
      </c>
      <c r="D913" s="4" t="s">
        <v>52</v>
      </c>
      <c r="E913" s="4" t="s">
        <v>23</v>
      </c>
      <c r="F913" s="6">
        <v>4</v>
      </c>
      <c r="G913" s="6">
        <v>85000</v>
      </c>
      <c r="H913" s="6">
        <v>340000</v>
      </c>
      <c r="I913" s="6">
        <v>58025.73</v>
      </c>
      <c r="J913" s="6">
        <v>107897.08</v>
      </c>
      <c r="K913" t="s">
        <v>17</v>
      </c>
      <c r="L913" t="s">
        <v>18</v>
      </c>
      <c r="M913" t="s">
        <v>67</v>
      </c>
    </row>
    <row r="914" spans="1:13">
      <c r="A914" s="4" t="s">
        <v>1067</v>
      </c>
      <c r="B914" t="s">
        <v>499</v>
      </c>
      <c r="C914" s="2">
        <v>45934</v>
      </c>
      <c r="D914" s="4" t="s">
        <v>63</v>
      </c>
      <c r="E914" s="4" t="s">
        <v>16</v>
      </c>
      <c r="F914" s="6">
        <v>1</v>
      </c>
      <c r="G914" s="6">
        <v>7000</v>
      </c>
      <c r="H914" s="6">
        <v>7000</v>
      </c>
      <c r="I914" s="6">
        <v>5555.27</v>
      </c>
      <c r="J914" s="6">
        <v>1444.73</v>
      </c>
      <c r="K914" t="s">
        <v>24</v>
      </c>
      <c r="L914" t="s">
        <v>18</v>
      </c>
      <c r="M914" t="s">
        <v>67</v>
      </c>
    </row>
    <row r="915" spans="1:13">
      <c r="A915" s="4" t="s">
        <v>1068</v>
      </c>
      <c r="B915" t="s">
        <v>115</v>
      </c>
      <c r="C915" s="2">
        <v>45863</v>
      </c>
      <c r="D915" s="4" t="s">
        <v>70</v>
      </c>
      <c r="E915" s="4" t="s">
        <v>16</v>
      </c>
      <c r="F915" s="6">
        <v>2</v>
      </c>
      <c r="G915" s="6">
        <v>35000</v>
      </c>
      <c r="H915" s="6">
        <v>70000</v>
      </c>
      <c r="I915" s="6">
        <v>26616.49</v>
      </c>
      <c r="J915" s="6">
        <v>16767.02</v>
      </c>
      <c r="K915" t="s">
        <v>33</v>
      </c>
      <c r="L915" t="s">
        <v>18</v>
      </c>
      <c r="M915" t="s">
        <v>25</v>
      </c>
    </row>
    <row r="916" spans="1:13">
      <c r="A916" s="4" t="s">
        <v>1069</v>
      </c>
      <c r="B916" t="s">
        <v>86</v>
      </c>
      <c r="C916" s="2">
        <v>45852</v>
      </c>
      <c r="D916" s="4" t="s">
        <v>52</v>
      </c>
      <c r="E916" s="4" t="s">
        <v>23</v>
      </c>
      <c r="F916" s="6">
        <v>11</v>
      </c>
      <c r="G916" s="6">
        <v>85000</v>
      </c>
      <c r="H916" s="6">
        <v>935000</v>
      </c>
      <c r="I916" s="6">
        <v>67717.23</v>
      </c>
      <c r="J916" s="6">
        <v>190110.47</v>
      </c>
      <c r="K916" t="s">
        <v>33</v>
      </c>
      <c r="L916" t="s">
        <v>29</v>
      </c>
      <c r="M916" t="s">
        <v>30</v>
      </c>
    </row>
    <row r="917" spans="1:13">
      <c r="A917" s="4" t="s">
        <v>1070</v>
      </c>
      <c r="B917" t="s">
        <v>127</v>
      </c>
      <c r="C917" s="2" t="s">
        <v>355</v>
      </c>
      <c r="D917" s="4" t="s">
        <v>63</v>
      </c>
      <c r="E917" s="4" t="s">
        <v>16</v>
      </c>
      <c r="F917" s="6">
        <v>3</v>
      </c>
      <c r="G917" s="6">
        <v>3000</v>
      </c>
      <c r="H917" s="6">
        <v>9000</v>
      </c>
      <c r="I917" s="6">
        <v>1986.05</v>
      </c>
      <c r="J917" s="6">
        <v>3041.85</v>
      </c>
      <c r="K917" t="s">
        <v>80</v>
      </c>
      <c r="L917" t="s">
        <v>53</v>
      </c>
      <c r="M917" t="s">
        <v>50</v>
      </c>
    </row>
    <row r="918" spans="1:13">
      <c r="A918" s="4" t="s">
        <v>1071</v>
      </c>
      <c r="B918" t="s">
        <v>79</v>
      </c>
      <c r="C918" s="2">
        <v>45705</v>
      </c>
      <c r="D918" s="4" t="s">
        <v>106</v>
      </c>
      <c r="E918" s="4" t="s">
        <v>23</v>
      </c>
      <c r="F918" s="6">
        <v>3</v>
      </c>
      <c r="G918" s="6">
        <v>120000</v>
      </c>
      <c r="H918" s="6">
        <v>360000</v>
      </c>
      <c r="I918" s="6">
        <v>89036.7</v>
      </c>
      <c r="J918" s="6">
        <v>92889.9</v>
      </c>
      <c r="K918" t="s">
        <v>17</v>
      </c>
      <c r="L918" t="s">
        <v>18</v>
      </c>
      <c r="M918" t="s">
        <v>25</v>
      </c>
    </row>
    <row r="919" spans="1:13">
      <c r="A919" s="4" t="s">
        <v>1072</v>
      </c>
      <c r="B919" t="s">
        <v>86</v>
      </c>
      <c r="C919" s="2">
        <v>46014</v>
      </c>
      <c r="D919" s="4" t="s">
        <v>66</v>
      </c>
      <c r="E919" s="4" t="s">
        <v>49</v>
      </c>
      <c r="F919" s="6">
        <v>3</v>
      </c>
      <c r="G919" s="6">
        <v>175000</v>
      </c>
      <c r="H919" s="6">
        <v>525000</v>
      </c>
      <c r="I919" s="6">
        <v>121202.63</v>
      </c>
      <c r="J919" s="6">
        <v>161392.10999999999</v>
      </c>
      <c r="K919" t="s">
        <v>17</v>
      </c>
      <c r="L919" t="s">
        <v>53</v>
      </c>
      <c r="M919" t="s">
        <v>67</v>
      </c>
    </row>
    <row r="920" spans="1:13">
      <c r="A920" s="4" t="s">
        <v>1073</v>
      </c>
      <c r="B920" t="s">
        <v>630</v>
      </c>
      <c r="C920" s="2">
        <v>45960</v>
      </c>
      <c r="D920" s="4" t="s">
        <v>56</v>
      </c>
      <c r="E920" s="4" t="s">
        <v>23</v>
      </c>
      <c r="F920" s="6">
        <v>2</v>
      </c>
      <c r="G920" s="6">
        <v>70000</v>
      </c>
      <c r="H920" s="6">
        <v>140000</v>
      </c>
      <c r="I920" s="6">
        <v>56144.88</v>
      </c>
      <c r="J920" s="6">
        <v>27710.240000000002</v>
      </c>
      <c r="K920" t="s">
        <v>17</v>
      </c>
      <c r="L920" t="s">
        <v>29</v>
      </c>
      <c r="M920" t="s">
        <v>50</v>
      </c>
    </row>
    <row r="921" spans="1:13">
      <c r="A921" s="4" t="s">
        <v>1074</v>
      </c>
      <c r="B921" t="s">
        <v>55</v>
      </c>
      <c r="C921" s="2">
        <v>45920</v>
      </c>
      <c r="D921" s="4" t="s">
        <v>66</v>
      </c>
      <c r="E921" s="4" t="s">
        <v>49</v>
      </c>
      <c r="F921" s="6">
        <v>10</v>
      </c>
      <c r="G921" s="6">
        <v>175000</v>
      </c>
      <c r="H921" s="6">
        <v>1750000</v>
      </c>
      <c r="I921" s="6">
        <v>127182.8</v>
      </c>
      <c r="J921" s="6">
        <v>478172</v>
      </c>
      <c r="K921" t="s">
        <v>80</v>
      </c>
      <c r="L921" t="s">
        <v>53</v>
      </c>
      <c r="M921" t="s">
        <v>38</v>
      </c>
    </row>
    <row r="922" spans="1:13">
      <c r="A922" s="4" t="s">
        <v>1075</v>
      </c>
      <c r="B922" t="s">
        <v>138</v>
      </c>
      <c r="C922" s="2">
        <v>45823</v>
      </c>
      <c r="D922" s="4" t="s">
        <v>15</v>
      </c>
      <c r="E922" s="4" t="s">
        <v>16</v>
      </c>
      <c r="F922" s="6">
        <v>1</v>
      </c>
      <c r="G922" s="6">
        <v>8000</v>
      </c>
      <c r="H922" s="6">
        <v>8000</v>
      </c>
      <c r="I922" s="6">
        <v>4923.6099999999997</v>
      </c>
      <c r="J922" s="6">
        <v>3076.39</v>
      </c>
      <c r="K922" t="s">
        <v>71</v>
      </c>
      <c r="L922" t="s">
        <v>53</v>
      </c>
      <c r="M922" t="s">
        <v>34</v>
      </c>
    </row>
    <row r="923" spans="1:13">
      <c r="A923" s="4" t="s">
        <v>1076</v>
      </c>
      <c r="B923" t="s">
        <v>125</v>
      </c>
      <c r="C923" s="2">
        <v>46016</v>
      </c>
      <c r="D923" s="4" t="s">
        <v>106</v>
      </c>
      <c r="E923" s="4" t="s">
        <v>23</v>
      </c>
      <c r="F923" s="6">
        <v>7</v>
      </c>
      <c r="G923" s="6">
        <v>150000</v>
      </c>
      <c r="H923" s="6">
        <v>1050000</v>
      </c>
      <c r="I923" s="6">
        <v>105017</v>
      </c>
      <c r="J923" s="6">
        <v>314881</v>
      </c>
      <c r="K923" t="s">
        <v>80</v>
      </c>
      <c r="L923" t="s">
        <v>53</v>
      </c>
      <c r="M923" t="s">
        <v>25</v>
      </c>
    </row>
    <row r="924" spans="1:13">
      <c r="A924" s="4" t="s">
        <v>1077</v>
      </c>
      <c r="B924" t="s">
        <v>47</v>
      </c>
      <c r="C924" s="2">
        <v>45899</v>
      </c>
      <c r="D924" s="4" t="s">
        <v>28</v>
      </c>
      <c r="E924" s="4" t="s">
        <v>23</v>
      </c>
      <c r="F924" s="6">
        <v>3</v>
      </c>
      <c r="G924" s="6">
        <v>300000</v>
      </c>
      <c r="H924" s="6">
        <v>900000</v>
      </c>
      <c r="I924" s="6">
        <v>192622.93</v>
      </c>
      <c r="J924" s="6">
        <v>322131.21000000002</v>
      </c>
      <c r="K924" t="s">
        <v>71</v>
      </c>
      <c r="L924" t="s">
        <v>18</v>
      </c>
      <c r="M924" t="s">
        <v>19</v>
      </c>
    </row>
    <row r="925" spans="1:13">
      <c r="A925" s="4" t="s">
        <v>1078</v>
      </c>
      <c r="B925" t="s">
        <v>138</v>
      </c>
      <c r="C925" s="2">
        <v>45818</v>
      </c>
      <c r="D925" s="4" t="s">
        <v>28</v>
      </c>
      <c r="E925" s="4" t="s">
        <v>23</v>
      </c>
      <c r="F925" s="6">
        <v>10</v>
      </c>
      <c r="G925" s="6">
        <v>220000</v>
      </c>
      <c r="H925" s="6">
        <v>2200000</v>
      </c>
      <c r="I925" s="6">
        <v>157875.5</v>
      </c>
      <c r="J925" s="6">
        <v>621245</v>
      </c>
      <c r="K925" t="s">
        <v>80</v>
      </c>
      <c r="L925" t="s">
        <v>29</v>
      </c>
      <c r="M925" t="s">
        <v>67</v>
      </c>
    </row>
    <row r="926" spans="1:13">
      <c r="A926" s="4" t="s">
        <v>1079</v>
      </c>
      <c r="B926" t="s">
        <v>234</v>
      </c>
      <c r="C926" s="2">
        <v>45789</v>
      </c>
      <c r="D926" s="4" t="s">
        <v>48</v>
      </c>
      <c r="E926" s="4" t="s">
        <v>49</v>
      </c>
      <c r="F926" s="6">
        <v>6</v>
      </c>
      <c r="G926" s="6">
        <v>140000</v>
      </c>
      <c r="H926" s="6">
        <v>840000</v>
      </c>
      <c r="I926" s="6">
        <v>97375.02</v>
      </c>
      <c r="J926" s="6">
        <v>255749.88</v>
      </c>
      <c r="K926" t="s">
        <v>80</v>
      </c>
      <c r="L926" t="s">
        <v>53</v>
      </c>
      <c r="M926" t="s">
        <v>50</v>
      </c>
    </row>
    <row r="927" spans="1:13">
      <c r="A927" s="4" t="s">
        <v>1080</v>
      </c>
      <c r="B927" t="s">
        <v>65</v>
      </c>
      <c r="C927" s="2">
        <v>45956</v>
      </c>
      <c r="D927" s="4" t="s">
        <v>28</v>
      </c>
      <c r="E927" s="4" t="s">
        <v>23</v>
      </c>
      <c r="F927" s="6">
        <v>11</v>
      </c>
      <c r="G927" s="6">
        <v>180000</v>
      </c>
      <c r="H927" s="6">
        <v>1980000</v>
      </c>
      <c r="I927" s="6">
        <v>144003.45000000001</v>
      </c>
      <c r="J927" s="6">
        <v>395962.05</v>
      </c>
      <c r="K927" t="s">
        <v>80</v>
      </c>
      <c r="L927" t="s">
        <v>53</v>
      </c>
      <c r="M927" t="s">
        <v>25</v>
      </c>
    </row>
    <row r="928" spans="1:13">
      <c r="A928" s="4" t="s">
        <v>1081</v>
      </c>
      <c r="B928" t="s">
        <v>109</v>
      </c>
      <c r="C928" s="2">
        <v>45877</v>
      </c>
      <c r="D928" s="4" t="s">
        <v>37</v>
      </c>
      <c r="E928" s="4" t="s">
        <v>16</v>
      </c>
      <c r="F928" s="6">
        <v>12</v>
      </c>
      <c r="G928" s="6">
        <v>18000</v>
      </c>
      <c r="H928" s="6">
        <v>216000</v>
      </c>
      <c r="I928" s="6">
        <v>11345.41</v>
      </c>
      <c r="J928" s="6">
        <v>79855.08</v>
      </c>
      <c r="K928" t="s">
        <v>33</v>
      </c>
      <c r="L928" t="s">
        <v>53</v>
      </c>
      <c r="M928" t="s">
        <v>19</v>
      </c>
    </row>
    <row r="929" spans="1:13">
      <c r="A929" s="4" t="s">
        <v>1082</v>
      </c>
      <c r="B929" t="s">
        <v>292</v>
      </c>
      <c r="C929" s="2">
        <v>45953</v>
      </c>
      <c r="D929" s="4" t="s">
        <v>52</v>
      </c>
      <c r="E929" s="4" t="s">
        <v>23</v>
      </c>
      <c r="F929" s="6">
        <v>6</v>
      </c>
      <c r="G929" s="6">
        <v>85000</v>
      </c>
      <c r="H929" s="6">
        <v>510000</v>
      </c>
      <c r="I929" s="6">
        <v>58657.9</v>
      </c>
      <c r="J929" s="6">
        <v>158052.6</v>
      </c>
      <c r="K929" t="s">
        <v>80</v>
      </c>
      <c r="L929" t="s">
        <v>53</v>
      </c>
      <c r="M929" t="s">
        <v>50</v>
      </c>
    </row>
    <row r="930" spans="1:13">
      <c r="A930" s="4" t="s">
        <v>1083</v>
      </c>
      <c r="B930" t="s">
        <v>90</v>
      </c>
      <c r="C930" s="2">
        <v>45919</v>
      </c>
      <c r="D930" s="4" t="s">
        <v>48</v>
      </c>
      <c r="E930" s="4" t="s">
        <v>49</v>
      </c>
      <c r="F930" s="6">
        <v>4</v>
      </c>
      <c r="G930" s="6">
        <v>140000</v>
      </c>
      <c r="H930" s="6">
        <v>560000</v>
      </c>
      <c r="I930" s="6">
        <v>92996.95</v>
      </c>
      <c r="J930" s="6">
        <v>188012.2</v>
      </c>
      <c r="K930" t="s">
        <v>71</v>
      </c>
      <c r="L930" t="s">
        <v>53</v>
      </c>
      <c r="M930" t="s">
        <v>67</v>
      </c>
    </row>
    <row r="931" spans="1:13">
      <c r="A931" s="4" t="s">
        <v>1084</v>
      </c>
      <c r="B931" t="s">
        <v>627</v>
      </c>
      <c r="C931" s="2">
        <v>45945</v>
      </c>
      <c r="D931" s="4" t="s">
        <v>70</v>
      </c>
      <c r="E931" s="4" t="s">
        <v>16</v>
      </c>
      <c r="F931" s="6">
        <v>9</v>
      </c>
      <c r="G931" s="6">
        <v>35000</v>
      </c>
      <c r="H931" s="6">
        <v>315000</v>
      </c>
      <c r="I931" s="6">
        <v>24457.75</v>
      </c>
      <c r="J931" s="6">
        <v>94880.25</v>
      </c>
      <c r="K931" t="s">
        <v>80</v>
      </c>
      <c r="L931" t="s">
        <v>29</v>
      </c>
      <c r="M931" t="s">
        <v>38</v>
      </c>
    </row>
    <row r="932" spans="1:13">
      <c r="A932" s="4" t="s">
        <v>1085</v>
      </c>
      <c r="B932" t="s">
        <v>146</v>
      </c>
      <c r="C932" s="2">
        <v>45797</v>
      </c>
      <c r="D932" s="4" t="s">
        <v>28</v>
      </c>
      <c r="E932" s="4" t="s">
        <v>23</v>
      </c>
      <c r="F932" s="6">
        <v>8</v>
      </c>
      <c r="G932" s="6">
        <v>300000</v>
      </c>
      <c r="H932" s="6">
        <v>2400000</v>
      </c>
      <c r="I932" s="6">
        <v>204529.06</v>
      </c>
      <c r="J932" s="6">
        <v>763767.52</v>
      </c>
      <c r="K932" t="s">
        <v>80</v>
      </c>
      <c r="L932" t="s">
        <v>29</v>
      </c>
      <c r="M932" t="s">
        <v>19</v>
      </c>
    </row>
    <row r="933" spans="1:13">
      <c r="A933" s="4" t="s">
        <v>1086</v>
      </c>
      <c r="B933" t="s">
        <v>316</v>
      </c>
      <c r="C933" s="2">
        <v>45846</v>
      </c>
      <c r="D933" s="4" t="s">
        <v>48</v>
      </c>
      <c r="E933" s="4" t="s">
        <v>49</v>
      </c>
      <c r="F933" s="6">
        <v>2</v>
      </c>
      <c r="G933" s="6">
        <v>140000</v>
      </c>
      <c r="H933" s="6">
        <v>280000</v>
      </c>
      <c r="I933" s="6">
        <v>100489.76</v>
      </c>
      <c r="J933" s="6">
        <v>79020.479999999996</v>
      </c>
      <c r="K933" t="s">
        <v>33</v>
      </c>
      <c r="L933" t="s">
        <v>18</v>
      </c>
      <c r="M933" t="s">
        <v>25</v>
      </c>
    </row>
    <row r="934" spans="1:13">
      <c r="A934" s="4" t="s">
        <v>1087</v>
      </c>
      <c r="B934" t="s">
        <v>208</v>
      </c>
      <c r="C934" s="2">
        <v>45889</v>
      </c>
      <c r="D934" s="4" t="s">
        <v>37</v>
      </c>
      <c r="E934" s="4" t="s">
        <v>16</v>
      </c>
      <c r="F934" s="6">
        <v>5</v>
      </c>
      <c r="G934" s="6">
        <v>18000</v>
      </c>
      <c r="H934" s="6">
        <v>90000</v>
      </c>
      <c r="I934" s="6">
        <v>11584.83</v>
      </c>
      <c r="J934" s="6">
        <v>32075.85</v>
      </c>
      <c r="K934" t="s">
        <v>17</v>
      </c>
      <c r="L934" t="s">
        <v>53</v>
      </c>
      <c r="M934" t="s">
        <v>34</v>
      </c>
    </row>
    <row r="935" spans="1:13">
      <c r="A935" s="4" t="s">
        <v>1088</v>
      </c>
      <c r="B935" t="s">
        <v>44</v>
      </c>
      <c r="C935" s="2">
        <v>45784</v>
      </c>
      <c r="D935" s="4" t="s">
        <v>45</v>
      </c>
      <c r="E935" s="4" t="s">
        <v>23</v>
      </c>
      <c r="F935" s="6">
        <v>9</v>
      </c>
      <c r="G935" s="6">
        <v>520000</v>
      </c>
      <c r="H935" s="6">
        <v>4680000</v>
      </c>
      <c r="I935" s="6">
        <v>343229.49</v>
      </c>
      <c r="J935" s="6">
        <v>1590934.59</v>
      </c>
      <c r="K935" t="s">
        <v>71</v>
      </c>
      <c r="L935" t="s">
        <v>53</v>
      </c>
      <c r="M935" t="s">
        <v>19</v>
      </c>
    </row>
    <row r="936" spans="1:13">
      <c r="A936" s="4" t="s">
        <v>1089</v>
      </c>
      <c r="B936" t="s">
        <v>75</v>
      </c>
      <c r="C936" s="2">
        <v>45896</v>
      </c>
      <c r="D936" s="4" t="s">
        <v>28</v>
      </c>
      <c r="E936" s="4" t="s">
        <v>23</v>
      </c>
      <c r="F936" s="6">
        <v>5</v>
      </c>
      <c r="G936" s="6">
        <v>180000</v>
      </c>
      <c r="H936" s="6">
        <v>900000</v>
      </c>
      <c r="I936" s="6">
        <v>121914</v>
      </c>
      <c r="J936" s="6">
        <v>290430</v>
      </c>
      <c r="K936" t="s">
        <v>24</v>
      </c>
      <c r="L936" t="s">
        <v>18</v>
      </c>
      <c r="M936" t="s">
        <v>67</v>
      </c>
    </row>
    <row r="937" spans="1:13">
      <c r="A937" s="4" t="s">
        <v>1090</v>
      </c>
      <c r="B937" t="s">
        <v>359</v>
      </c>
      <c r="C937" s="2">
        <v>45741</v>
      </c>
      <c r="D937" s="4" t="s">
        <v>56</v>
      </c>
      <c r="E937" s="4" t="s">
        <v>23</v>
      </c>
      <c r="F937" s="6">
        <v>1</v>
      </c>
      <c r="G937" s="6">
        <v>30000</v>
      </c>
      <c r="H937" s="6">
        <v>30000</v>
      </c>
      <c r="I937" s="6">
        <v>23259.49</v>
      </c>
      <c r="J937" s="6">
        <v>6740.51</v>
      </c>
      <c r="K937" t="s">
        <v>17</v>
      </c>
      <c r="L937" t="s">
        <v>29</v>
      </c>
      <c r="M937" t="s">
        <v>38</v>
      </c>
    </row>
    <row r="938" spans="1:13">
      <c r="A938" s="4" t="s">
        <v>1091</v>
      </c>
      <c r="B938" t="s">
        <v>211</v>
      </c>
      <c r="C938" s="2">
        <v>45774</v>
      </c>
      <c r="D938" s="4" t="s">
        <v>28</v>
      </c>
      <c r="E938" s="4" t="s">
        <v>23</v>
      </c>
      <c r="F938" s="6">
        <v>12</v>
      </c>
      <c r="G938" s="6">
        <v>300000</v>
      </c>
      <c r="H938" s="6">
        <v>3600000</v>
      </c>
      <c r="I938" s="6">
        <v>174184.93</v>
      </c>
      <c r="J938" s="6">
        <v>1509780.84</v>
      </c>
      <c r="K938" t="s">
        <v>71</v>
      </c>
      <c r="L938" t="s">
        <v>53</v>
      </c>
      <c r="M938" t="s">
        <v>30</v>
      </c>
    </row>
    <row r="939" spans="1:13">
      <c r="A939" s="4" t="s">
        <v>1092</v>
      </c>
      <c r="B939" t="s">
        <v>58</v>
      </c>
      <c r="C939" s="2">
        <v>45696</v>
      </c>
      <c r="D939" s="4" t="s">
        <v>48</v>
      </c>
      <c r="E939" s="4" t="s">
        <v>49</v>
      </c>
      <c r="F939" s="6">
        <v>12</v>
      </c>
      <c r="G939" s="6">
        <v>200000</v>
      </c>
      <c r="H939" s="6">
        <v>2400000</v>
      </c>
      <c r="I939" s="6">
        <v>120861.94</v>
      </c>
      <c r="J939" s="6">
        <v>949656.72</v>
      </c>
      <c r="K939" t="s">
        <v>71</v>
      </c>
      <c r="L939" t="s">
        <v>29</v>
      </c>
      <c r="M939" t="s">
        <v>19</v>
      </c>
    </row>
    <row r="940" spans="1:13">
      <c r="A940" s="4" t="s">
        <v>1093</v>
      </c>
      <c r="B940" t="s">
        <v>391</v>
      </c>
      <c r="C940" s="2">
        <v>45854</v>
      </c>
      <c r="D940" s="4" t="s">
        <v>63</v>
      </c>
      <c r="E940" s="4" t="s">
        <v>16</v>
      </c>
      <c r="F940" s="6">
        <v>3</v>
      </c>
      <c r="G940" s="6">
        <v>3000</v>
      </c>
      <c r="H940" s="6">
        <v>9000</v>
      </c>
      <c r="I940" s="6">
        <v>2410.44</v>
      </c>
      <c r="J940" s="6">
        <v>1768.68</v>
      </c>
      <c r="K940" t="s">
        <v>33</v>
      </c>
      <c r="L940" t="s">
        <v>18</v>
      </c>
      <c r="M940" t="s">
        <v>38</v>
      </c>
    </row>
    <row r="941" spans="1:13">
      <c r="A941" s="4" t="s">
        <v>1094</v>
      </c>
      <c r="B941" t="s">
        <v>222</v>
      </c>
      <c r="C941" s="2">
        <v>46021</v>
      </c>
      <c r="D941" s="4" t="s">
        <v>63</v>
      </c>
      <c r="E941" s="4" t="s">
        <v>16</v>
      </c>
      <c r="F941" s="6">
        <v>9</v>
      </c>
      <c r="G941" s="6">
        <v>5000</v>
      </c>
      <c r="H941" s="6">
        <v>45000</v>
      </c>
      <c r="I941" s="6">
        <v>3449.31</v>
      </c>
      <c r="J941" s="6">
        <v>13956.21</v>
      </c>
      <c r="K941" t="s">
        <v>71</v>
      </c>
      <c r="L941" t="s">
        <v>53</v>
      </c>
      <c r="M941" t="s">
        <v>19</v>
      </c>
    </row>
    <row r="942" spans="1:13">
      <c r="A942" s="4" t="s">
        <v>1095</v>
      </c>
      <c r="B942" t="s">
        <v>123</v>
      </c>
      <c r="C942" s="2">
        <v>45692</v>
      </c>
      <c r="D942" s="4" t="s">
        <v>106</v>
      </c>
      <c r="E942" s="4" t="s">
        <v>23</v>
      </c>
      <c r="F942" s="6">
        <v>5</v>
      </c>
      <c r="G942" s="6">
        <v>150000</v>
      </c>
      <c r="H942" s="6">
        <v>750000</v>
      </c>
      <c r="I942" s="6">
        <v>105240.83</v>
      </c>
      <c r="J942" s="6">
        <v>223795.85</v>
      </c>
      <c r="K942" t="s">
        <v>17</v>
      </c>
      <c r="L942" t="s">
        <v>53</v>
      </c>
      <c r="M942" t="s">
        <v>38</v>
      </c>
    </row>
    <row r="943" spans="1:13">
      <c r="A943" s="4" t="s">
        <v>1096</v>
      </c>
      <c r="B943" t="s">
        <v>100</v>
      </c>
      <c r="C943" s="2">
        <v>45804</v>
      </c>
      <c r="D943" s="4" t="s">
        <v>56</v>
      </c>
      <c r="E943" s="4" t="s">
        <v>23</v>
      </c>
      <c r="F943" s="6">
        <v>4</v>
      </c>
      <c r="G943" s="6">
        <v>45000</v>
      </c>
      <c r="H943" s="6">
        <v>180000</v>
      </c>
      <c r="I943" s="6">
        <v>29727.15</v>
      </c>
      <c r="J943" s="6">
        <v>61091.4</v>
      </c>
      <c r="K943" t="s">
        <v>17</v>
      </c>
      <c r="L943" t="s">
        <v>53</v>
      </c>
      <c r="M943" t="s">
        <v>50</v>
      </c>
    </row>
    <row r="944" spans="1:13">
      <c r="A944" s="4" t="s">
        <v>1097</v>
      </c>
      <c r="B944" t="s">
        <v>450</v>
      </c>
      <c r="C944" s="2">
        <v>45757</v>
      </c>
      <c r="D944" s="4" t="s">
        <v>28</v>
      </c>
      <c r="E944" s="4" t="s">
        <v>23</v>
      </c>
      <c r="F944" s="6">
        <v>5</v>
      </c>
      <c r="G944" s="6">
        <v>180000</v>
      </c>
      <c r="H944" s="6">
        <v>900000</v>
      </c>
      <c r="I944" s="6">
        <v>119990.06</v>
      </c>
      <c r="J944" s="6">
        <f>H944 - (F944 * I944)</f>
        <v>300049.69999999995</v>
      </c>
      <c r="K944" t="s">
        <v>17</v>
      </c>
      <c r="L944" t="s">
        <v>18</v>
      </c>
      <c r="M944" t="s">
        <v>25</v>
      </c>
    </row>
    <row r="945" spans="1:13">
      <c r="A945" s="4" t="s">
        <v>1098</v>
      </c>
      <c r="B945" t="s">
        <v>135</v>
      </c>
      <c r="C945" s="2">
        <v>45937</v>
      </c>
      <c r="D945" s="4" t="s">
        <v>52</v>
      </c>
      <c r="E945" s="4" t="s">
        <v>23</v>
      </c>
      <c r="F945" s="6">
        <v>2</v>
      </c>
      <c r="G945" s="6">
        <v>85000</v>
      </c>
      <c r="H945" s="6">
        <v>170000</v>
      </c>
      <c r="I945" s="6">
        <v>57907.21</v>
      </c>
      <c r="J945" s="6">
        <v>54185.58</v>
      </c>
      <c r="K945" t="s">
        <v>17</v>
      </c>
      <c r="L945" t="s">
        <v>53</v>
      </c>
      <c r="M945" t="s">
        <v>50</v>
      </c>
    </row>
    <row r="946" spans="1:13">
      <c r="A946" s="4" t="s">
        <v>1099</v>
      </c>
      <c r="B946" t="s">
        <v>90</v>
      </c>
      <c r="C946" s="2">
        <v>45741</v>
      </c>
      <c r="D946" s="4" t="s">
        <v>45</v>
      </c>
      <c r="E946" s="4" t="s">
        <v>23</v>
      </c>
      <c r="F946" s="6">
        <v>10</v>
      </c>
      <c r="G946" s="6">
        <v>450000</v>
      </c>
      <c r="H946" s="6">
        <v>4500000</v>
      </c>
      <c r="I946" s="6">
        <v>353568.01</v>
      </c>
      <c r="J946" s="6">
        <v>964319.9</v>
      </c>
      <c r="K946" t="s">
        <v>71</v>
      </c>
      <c r="L946" t="s">
        <v>18</v>
      </c>
      <c r="M946" t="s">
        <v>50</v>
      </c>
    </row>
    <row r="947" spans="1:13">
      <c r="A947" s="4" t="s">
        <v>1100</v>
      </c>
      <c r="B947" t="s">
        <v>391</v>
      </c>
      <c r="C947" s="2">
        <v>45868</v>
      </c>
      <c r="D947" s="4" t="s">
        <v>106</v>
      </c>
      <c r="E947" s="4" t="s">
        <v>23</v>
      </c>
      <c r="F947" s="6">
        <v>9</v>
      </c>
      <c r="G947" s="6">
        <v>200000</v>
      </c>
      <c r="H947" s="6">
        <v>1800000</v>
      </c>
      <c r="I947" s="6">
        <v>133614.56</v>
      </c>
      <c r="J947" s="6">
        <v>597468.96</v>
      </c>
      <c r="K947" t="s">
        <v>33</v>
      </c>
      <c r="L947" t="s">
        <v>29</v>
      </c>
      <c r="M947" t="s">
        <v>38</v>
      </c>
    </row>
    <row r="948" spans="1:13">
      <c r="A948" s="4" t="s">
        <v>1101</v>
      </c>
      <c r="B948" t="s">
        <v>40</v>
      </c>
      <c r="C948" s="2">
        <v>45874</v>
      </c>
      <c r="D948" s="4" t="s">
        <v>52</v>
      </c>
      <c r="E948" s="4" t="s">
        <v>23</v>
      </c>
      <c r="F948" s="6">
        <v>12</v>
      </c>
      <c r="G948" s="6">
        <v>45000</v>
      </c>
      <c r="H948" s="6">
        <v>540000</v>
      </c>
      <c r="I948" s="6">
        <v>36558.71</v>
      </c>
      <c r="J948" s="6">
        <v>101295.48</v>
      </c>
      <c r="K948" t="s">
        <v>24</v>
      </c>
      <c r="L948" t="s">
        <v>29</v>
      </c>
      <c r="M948" t="s">
        <v>67</v>
      </c>
    </row>
    <row r="949" spans="1:13">
      <c r="A949" s="4" t="s">
        <v>1102</v>
      </c>
      <c r="B949" t="s">
        <v>321</v>
      </c>
      <c r="C949" s="2">
        <v>45974</v>
      </c>
      <c r="D949" s="4" t="s">
        <v>52</v>
      </c>
      <c r="E949" s="4" t="s">
        <v>23</v>
      </c>
      <c r="F949" s="6">
        <v>6</v>
      </c>
      <c r="G949" s="6">
        <v>85000</v>
      </c>
      <c r="H949" s="6">
        <v>510000</v>
      </c>
      <c r="I949" s="6">
        <v>53222.69</v>
      </c>
      <c r="J949" s="6">
        <v>190663.86</v>
      </c>
      <c r="K949" t="s">
        <v>17</v>
      </c>
      <c r="L949" t="s">
        <v>18</v>
      </c>
      <c r="M949" t="s">
        <v>50</v>
      </c>
    </row>
    <row r="950" spans="1:13">
      <c r="A950" s="4" t="s">
        <v>1103</v>
      </c>
      <c r="B950" t="s">
        <v>308</v>
      </c>
      <c r="C950" s="2">
        <v>45834</v>
      </c>
      <c r="D950" s="4" t="s">
        <v>70</v>
      </c>
      <c r="E950" s="4" t="s">
        <v>16</v>
      </c>
      <c r="F950" s="6">
        <v>6</v>
      </c>
      <c r="G950" s="6">
        <v>22000</v>
      </c>
      <c r="H950" s="6">
        <v>132000</v>
      </c>
      <c r="I950" s="6">
        <v>14614.7</v>
      </c>
      <c r="J950" s="6">
        <v>44311.8</v>
      </c>
      <c r="K950" t="s">
        <v>71</v>
      </c>
      <c r="L950" t="s">
        <v>53</v>
      </c>
      <c r="M950" t="s">
        <v>50</v>
      </c>
    </row>
    <row r="951" spans="1:13">
      <c r="A951" s="4" t="s">
        <v>1104</v>
      </c>
      <c r="B951" t="s">
        <v>512</v>
      </c>
      <c r="C951" s="2">
        <v>45968</v>
      </c>
      <c r="D951" s="4" t="s">
        <v>37</v>
      </c>
      <c r="E951" s="4" t="s">
        <v>16</v>
      </c>
      <c r="F951" s="6">
        <v>12</v>
      </c>
      <c r="G951" s="6">
        <v>12000</v>
      </c>
      <c r="H951" s="6">
        <v>144000</v>
      </c>
      <c r="I951" s="6">
        <v>6997.69</v>
      </c>
      <c r="J951" s="6">
        <v>60027.72</v>
      </c>
      <c r="K951" t="s">
        <v>80</v>
      </c>
      <c r="L951" t="s">
        <v>53</v>
      </c>
      <c r="M951" t="s">
        <v>30</v>
      </c>
    </row>
    <row r="952" spans="1:13">
      <c r="A952" s="4" t="s">
        <v>1105</v>
      </c>
      <c r="B952" t="s">
        <v>205</v>
      </c>
      <c r="C952" s="2">
        <v>45920</v>
      </c>
      <c r="D952" s="4" t="s">
        <v>45</v>
      </c>
      <c r="E952" s="4" t="s">
        <v>23</v>
      </c>
      <c r="F952" s="6">
        <v>2</v>
      </c>
      <c r="G952" s="6">
        <v>650000</v>
      </c>
      <c r="H952" s="6">
        <v>1300000</v>
      </c>
      <c r="I952" s="6">
        <v>443286.51</v>
      </c>
      <c r="J952" s="6">
        <v>413426.98</v>
      </c>
      <c r="K952" t="s">
        <v>80</v>
      </c>
      <c r="L952" t="s">
        <v>18</v>
      </c>
      <c r="M952" t="s">
        <v>38</v>
      </c>
    </row>
    <row r="953" spans="1:13">
      <c r="A953" s="4" t="s">
        <v>1106</v>
      </c>
      <c r="B953" t="s">
        <v>351</v>
      </c>
      <c r="C953" s="2">
        <v>46009</v>
      </c>
      <c r="D953" s="4" t="s">
        <v>106</v>
      </c>
      <c r="E953" s="4" t="s">
        <v>23</v>
      </c>
      <c r="F953" s="6">
        <v>8</v>
      </c>
      <c r="G953" s="6">
        <v>120000</v>
      </c>
      <c r="H953" s="6">
        <v>960000</v>
      </c>
      <c r="I953" s="6">
        <v>85552.78</v>
      </c>
      <c r="J953" s="6">
        <v>275577.76</v>
      </c>
      <c r="K953" t="s">
        <v>80</v>
      </c>
      <c r="L953" t="s">
        <v>53</v>
      </c>
      <c r="M953" t="s">
        <v>34</v>
      </c>
    </row>
    <row r="954" spans="1:13">
      <c r="A954" s="4" t="s">
        <v>1107</v>
      </c>
      <c r="B954" t="s">
        <v>450</v>
      </c>
      <c r="C954" s="2">
        <v>45963</v>
      </c>
      <c r="D954" s="4" t="s">
        <v>66</v>
      </c>
      <c r="E954" s="4" t="s">
        <v>49</v>
      </c>
      <c r="F954" s="6">
        <v>9</v>
      </c>
      <c r="G954" s="6">
        <v>120000</v>
      </c>
      <c r="H954" s="6">
        <v>1080000</v>
      </c>
      <c r="I954" s="6">
        <v>74559.570000000007</v>
      </c>
      <c r="J954" s="6">
        <v>408963.87</v>
      </c>
      <c r="K954" t="s">
        <v>17</v>
      </c>
      <c r="L954" t="s">
        <v>18</v>
      </c>
      <c r="M954" t="s">
        <v>34</v>
      </c>
    </row>
    <row r="955" spans="1:13">
      <c r="A955" s="4" t="s">
        <v>1108</v>
      </c>
      <c r="B955" t="s">
        <v>213</v>
      </c>
      <c r="C955" s="2">
        <v>45881</v>
      </c>
      <c r="D955" s="4" t="s">
        <v>15</v>
      </c>
      <c r="E955" s="4" t="s">
        <v>16</v>
      </c>
      <c r="F955" s="6">
        <v>2</v>
      </c>
      <c r="G955" s="6">
        <v>8000</v>
      </c>
      <c r="H955" s="6">
        <v>16000</v>
      </c>
      <c r="I955" s="6">
        <v>6208.07</v>
      </c>
      <c r="J955" s="6">
        <v>3583.86</v>
      </c>
      <c r="K955" t="s">
        <v>17</v>
      </c>
      <c r="L955" t="s">
        <v>29</v>
      </c>
      <c r="M955" t="s">
        <v>67</v>
      </c>
    </row>
    <row r="956" spans="1:13">
      <c r="A956" s="4" t="s">
        <v>1109</v>
      </c>
      <c r="B956" t="s">
        <v>127</v>
      </c>
      <c r="C956" s="2">
        <v>45787</v>
      </c>
      <c r="D956" s="4" t="s">
        <v>22</v>
      </c>
      <c r="E956" s="4" t="s">
        <v>23</v>
      </c>
      <c r="F956" s="6">
        <v>6</v>
      </c>
      <c r="G956" s="6">
        <v>210000</v>
      </c>
      <c r="H956" s="6">
        <v>1260000</v>
      </c>
      <c r="I956" s="6">
        <v>151312.62</v>
      </c>
      <c r="J956" s="6">
        <v>352124.28</v>
      </c>
      <c r="K956" t="s">
        <v>33</v>
      </c>
      <c r="L956" t="s">
        <v>53</v>
      </c>
      <c r="M956" t="s">
        <v>67</v>
      </c>
    </row>
    <row r="957" spans="1:13">
      <c r="A957" s="4" t="s">
        <v>1110</v>
      </c>
      <c r="B957" t="s">
        <v>47</v>
      </c>
      <c r="C957" s="2">
        <v>45689</v>
      </c>
      <c r="D957" s="4" t="s">
        <v>56</v>
      </c>
      <c r="E957" s="4" t="s">
        <v>23</v>
      </c>
      <c r="F957" s="6">
        <v>12</v>
      </c>
      <c r="G957" s="6">
        <v>30000</v>
      </c>
      <c r="H957" s="6">
        <v>360000</v>
      </c>
      <c r="I957" s="6">
        <v>21134.52</v>
      </c>
      <c r="J957" s="6">
        <v>106385.76</v>
      </c>
      <c r="K957" t="s">
        <v>24</v>
      </c>
      <c r="L957" t="s">
        <v>18</v>
      </c>
      <c r="M957" t="s">
        <v>30</v>
      </c>
    </row>
    <row r="958" spans="1:13">
      <c r="A958" s="4" t="s">
        <v>1111</v>
      </c>
      <c r="B958" t="s">
        <v>60</v>
      </c>
      <c r="C958" s="2">
        <v>45747</v>
      </c>
      <c r="D958" s="4" t="s">
        <v>70</v>
      </c>
      <c r="E958" s="4" t="s">
        <v>16</v>
      </c>
      <c r="F958" s="6">
        <v>4</v>
      </c>
      <c r="G958" s="6">
        <v>15000</v>
      </c>
      <c r="H958" s="6">
        <v>60000</v>
      </c>
      <c r="I958" s="6">
        <v>11531.45</v>
      </c>
      <c r="J958" s="6">
        <v>13874.2</v>
      </c>
      <c r="K958" t="s">
        <v>33</v>
      </c>
      <c r="L958" t="s">
        <v>18</v>
      </c>
      <c r="M958" t="s">
        <v>19</v>
      </c>
    </row>
    <row r="959" spans="1:13">
      <c r="A959" s="4" t="s">
        <v>1112</v>
      </c>
      <c r="B959" t="s">
        <v>109</v>
      </c>
      <c r="C959" s="2">
        <v>45890</v>
      </c>
      <c r="D959" s="4" t="s">
        <v>15</v>
      </c>
      <c r="E959" s="4" t="s">
        <v>16</v>
      </c>
      <c r="F959" s="6">
        <v>9</v>
      </c>
      <c r="G959" s="6">
        <v>10000</v>
      </c>
      <c r="H959" s="6">
        <v>90000</v>
      </c>
      <c r="I959" s="6">
        <v>7124.92</v>
      </c>
      <c r="J959" s="6">
        <v>25875.72</v>
      </c>
      <c r="K959" t="s">
        <v>80</v>
      </c>
      <c r="L959" t="s">
        <v>29</v>
      </c>
      <c r="M959" t="s">
        <v>50</v>
      </c>
    </row>
    <row r="960" spans="1:13">
      <c r="A960" s="4" t="s">
        <v>1113</v>
      </c>
      <c r="B960" t="s">
        <v>630</v>
      </c>
      <c r="C960" s="2">
        <v>45950</v>
      </c>
      <c r="D960" s="4" t="s">
        <v>37</v>
      </c>
      <c r="E960" s="4" t="s">
        <v>16</v>
      </c>
      <c r="F960" s="6">
        <v>9</v>
      </c>
      <c r="G960" s="6">
        <v>12000</v>
      </c>
      <c r="H960" s="6">
        <v>108000</v>
      </c>
      <c r="I960" s="6">
        <v>8933.7099999999991</v>
      </c>
      <c r="J960" s="6">
        <v>27596.61</v>
      </c>
      <c r="K960" t="s">
        <v>71</v>
      </c>
      <c r="L960" t="s">
        <v>29</v>
      </c>
      <c r="M960" t="s">
        <v>19</v>
      </c>
    </row>
    <row r="961" spans="1:13">
      <c r="A961" s="4" t="s">
        <v>1114</v>
      </c>
      <c r="B961" t="s">
        <v>343</v>
      </c>
      <c r="C961" s="2">
        <v>45745</v>
      </c>
      <c r="D961" s="4" t="s">
        <v>66</v>
      </c>
      <c r="E961" s="4" t="s">
        <v>49</v>
      </c>
      <c r="F961" s="6">
        <v>5</v>
      </c>
      <c r="G961" s="6">
        <v>120000</v>
      </c>
      <c r="H961" s="6">
        <v>600000</v>
      </c>
      <c r="I961" s="6">
        <v>87007.88</v>
      </c>
      <c r="J961" s="6">
        <v>164960.6</v>
      </c>
      <c r="K961" t="s">
        <v>33</v>
      </c>
      <c r="L961" t="s">
        <v>53</v>
      </c>
      <c r="M961" t="s">
        <v>30</v>
      </c>
    </row>
    <row r="962" spans="1:13">
      <c r="A962" s="4" t="s">
        <v>1115</v>
      </c>
      <c r="B962" t="s">
        <v>219</v>
      </c>
      <c r="C962" s="2">
        <v>45984</v>
      </c>
      <c r="D962" s="4" t="s">
        <v>70</v>
      </c>
      <c r="E962" s="4" t="s">
        <v>16</v>
      </c>
      <c r="F962" s="6">
        <v>10</v>
      </c>
      <c r="G962" s="6">
        <v>35000</v>
      </c>
      <c r="H962" s="6">
        <v>350000</v>
      </c>
      <c r="I962" s="6">
        <v>20607.48</v>
      </c>
      <c r="J962" s="6">
        <v>143925.20000000001</v>
      </c>
      <c r="K962" t="s">
        <v>71</v>
      </c>
      <c r="L962" t="s">
        <v>29</v>
      </c>
      <c r="M962" t="s">
        <v>34</v>
      </c>
    </row>
    <row r="963" spans="1:13">
      <c r="A963" s="4" t="s">
        <v>1116</v>
      </c>
      <c r="B963" t="s">
        <v>222</v>
      </c>
      <c r="C963" s="2">
        <v>46007</v>
      </c>
      <c r="D963" s="4" t="s">
        <v>45</v>
      </c>
      <c r="E963" s="4" t="s">
        <v>23</v>
      </c>
      <c r="F963" s="6">
        <v>6</v>
      </c>
      <c r="G963" s="6">
        <v>520000</v>
      </c>
      <c r="H963" s="6">
        <v>3120000</v>
      </c>
      <c r="I963" s="6">
        <v>415908.37</v>
      </c>
      <c r="J963" s="6">
        <v>624549.78</v>
      </c>
      <c r="K963" t="s">
        <v>80</v>
      </c>
      <c r="L963" t="s">
        <v>29</v>
      </c>
      <c r="M963" t="s">
        <v>25</v>
      </c>
    </row>
    <row r="964" spans="1:13">
      <c r="A964" s="4" t="s">
        <v>1117</v>
      </c>
      <c r="B964" t="s">
        <v>141</v>
      </c>
      <c r="C964" s="2">
        <v>45932</v>
      </c>
      <c r="D964" s="4" t="s">
        <v>37</v>
      </c>
      <c r="E964" s="4" t="s">
        <v>16</v>
      </c>
      <c r="F964" s="6">
        <v>5</v>
      </c>
      <c r="G964" s="6">
        <v>12000</v>
      </c>
      <c r="H964" s="6">
        <v>60000</v>
      </c>
      <c r="I964" s="6">
        <v>7903.72</v>
      </c>
      <c r="J964" s="6">
        <v>20481.400000000001</v>
      </c>
      <c r="K964" t="s">
        <v>71</v>
      </c>
      <c r="L964" t="s">
        <v>53</v>
      </c>
      <c r="M964" t="s">
        <v>34</v>
      </c>
    </row>
    <row r="965" spans="1:13">
      <c r="A965" s="4" t="s">
        <v>1118</v>
      </c>
      <c r="B965" t="s">
        <v>154</v>
      </c>
      <c r="C965" s="2">
        <v>45962</v>
      </c>
      <c r="D965" s="4" t="s">
        <v>106</v>
      </c>
      <c r="E965" s="4" t="s">
        <v>23</v>
      </c>
      <c r="F965" s="6">
        <v>12</v>
      </c>
      <c r="G965" s="6">
        <v>200000</v>
      </c>
      <c r="H965" s="6">
        <v>2400000</v>
      </c>
      <c r="I965" s="6">
        <v>160217.24</v>
      </c>
      <c r="J965" s="6">
        <v>477393.12</v>
      </c>
      <c r="K965" t="s">
        <v>17</v>
      </c>
      <c r="L965" t="s">
        <v>29</v>
      </c>
      <c r="M965" t="s">
        <v>38</v>
      </c>
    </row>
    <row r="966" spans="1:13">
      <c r="A966" s="4" t="s">
        <v>1119</v>
      </c>
      <c r="B966" t="s">
        <v>294</v>
      </c>
      <c r="C966" s="2">
        <v>45830</v>
      </c>
      <c r="D966" s="4" t="s">
        <v>70</v>
      </c>
      <c r="E966" s="4" t="s">
        <v>16</v>
      </c>
      <c r="F966" s="6">
        <f>Cleaned_Data4[[#This Row],[Sales_Amount]]/Cleaned_Data4[[#This Row],[Unit_Price]]</f>
        <v>1</v>
      </c>
      <c r="G966" s="6">
        <v>22000</v>
      </c>
      <c r="H966" s="6">
        <v>22000</v>
      </c>
      <c r="I966" s="6">
        <v>17253.03</v>
      </c>
      <c r="J966" s="6">
        <v>4746.97</v>
      </c>
      <c r="K966" t="s">
        <v>80</v>
      </c>
      <c r="L966" t="s">
        <v>53</v>
      </c>
      <c r="M966" t="s">
        <v>19</v>
      </c>
    </row>
    <row r="967" spans="1:13">
      <c r="A967" s="4" t="s">
        <v>1120</v>
      </c>
      <c r="B967" t="s">
        <v>196</v>
      </c>
      <c r="C967" s="2">
        <v>45906</v>
      </c>
      <c r="D967" s="4" t="s">
        <v>45</v>
      </c>
      <c r="E967" s="4" t="s">
        <v>23</v>
      </c>
      <c r="F967" s="6">
        <v>9</v>
      </c>
      <c r="G967" s="6">
        <v>450000</v>
      </c>
      <c r="H967" s="6">
        <v>4050000</v>
      </c>
      <c r="I967" s="6">
        <v>268652.83</v>
      </c>
      <c r="J967" s="6">
        <v>1632124.53</v>
      </c>
      <c r="K967" t="s">
        <v>80</v>
      </c>
      <c r="L967" t="s">
        <v>18</v>
      </c>
      <c r="M967" t="s">
        <v>25</v>
      </c>
    </row>
    <row r="968" spans="1:13">
      <c r="A968" s="4" t="s">
        <v>1121</v>
      </c>
      <c r="B968" t="s">
        <v>14</v>
      </c>
      <c r="C968" s="2">
        <v>45667</v>
      </c>
      <c r="D968" s="4" t="s">
        <v>52</v>
      </c>
      <c r="E968" s="4" t="s">
        <v>23</v>
      </c>
      <c r="F968" s="6">
        <v>7</v>
      </c>
      <c r="G968" s="6">
        <v>85000</v>
      </c>
      <c r="H968" s="6">
        <v>595000</v>
      </c>
      <c r="I968" s="6">
        <v>67783.22</v>
      </c>
      <c r="J968" s="6">
        <v>120517.46</v>
      </c>
      <c r="K968" t="s">
        <v>17</v>
      </c>
      <c r="L968" t="s">
        <v>29</v>
      </c>
      <c r="M968" t="s">
        <v>50</v>
      </c>
    </row>
    <row r="969" spans="1:13">
      <c r="A969" s="4" t="s">
        <v>1122</v>
      </c>
      <c r="B969" t="s">
        <v>100</v>
      </c>
      <c r="C969" s="2">
        <v>45751</v>
      </c>
      <c r="D969" s="4" t="s">
        <v>52</v>
      </c>
      <c r="E969" s="4" t="s">
        <v>23</v>
      </c>
      <c r="F969" s="6">
        <f>Cleaned_Data4[[#This Row],[Sales_Amount]]/Cleaned_Data4[[#This Row],[Unit_Price]]</f>
        <v>2</v>
      </c>
      <c r="G969" s="6">
        <v>85000</v>
      </c>
      <c r="H969" s="6">
        <v>170000</v>
      </c>
      <c r="I969" s="6">
        <v>64653.62</v>
      </c>
      <c r="J969" s="6">
        <v>40692.76</v>
      </c>
      <c r="K969" t="s">
        <v>24</v>
      </c>
      <c r="L969" t="s">
        <v>29</v>
      </c>
      <c r="M969" t="s">
        <v>34</v>
      </c>
    </row>
    <row r="970" spans="1:13">
      <c r="A970" s="4" t="s">
        <v>1123</v>
      </c>
      <c r="B970" t="s">
        <v>208</v>
      </c>
      <c r="C970" s="2">
        <v>45778</v>
      </c>
      <c r="D970" s="4" t="s">
        <v>15</v>
      </c>
      <c r="E970" s="4" t="s">
        <v>16</v>
      </c>
      <c r="F970" s="6">
        <v>2</v>
      </c>
      <c r="G970" s="6">
        <v>12500</v>
      </c>
      <c r="H970" s="6">
        <v>25000</v>
      </c>
      <c r="I970" s="6">
        <v>9453.44</v>
      </c>
      <c r="J970" s="6">
        <v>6093.12</v>
      </c>
      <c r="K970" t="s">
        <v>33</v>
      </c>
      <c r="L970" t="s">
        <v>18</v>
      </c>
      <c r="M970" t="s">
        <v>34</v>
      </c>
    </row>
    <row r="971" spans="1:13">
      <c r="A971" s="4" t="s">
        <v>1124</v>
      </c>
      <c r="B971" t="s">
        <v>294</v>
      </c>
      <c r="C971" s="2">
        <v>45889</v>
      </c>
      <c r="D971" s="4" t="s">
        <v>52</v>
      </c>
      <c r="E971" s="4" t="s">
        <v>23</v>
      </c>
      <c r="F971" s="6">
        <v>2</v>
      </c>
      <c r="G971" s="6">
        <v>85000</v>
      </c>
      <c r="H971" s="6">
        <v>170000</v>
      </c>
      <c r="I971" s="6">
        <v>59513.42</v>
      </c>
      <c r="J971" s="6">
        <v>50973.16</v>
      </c>
      <c r="K971" t="s">
        <v>33</v>
      </c>
      <c r="L971" t="s">
        <v>18</v>
      </c>
      <c r="M971" t="s">
        <v>25</v>
      </c>
    </row>
    <row r="972" spans="1:13">
      <c r="A972" s="4" t="s">
        <v>1125</v>
      </c>
      <c r="B972" t="s">
        <v>21</v>
      </c>
      <c r="C972" s="2">
        <v>45801</v>
      </c>
      <c r="D972" s="4" t="s">
        <v>48</v>
      </c>
      <c r="E972" s="4" t="s">
        <v>49</v>
      </c>
      <c r="F972" s="6">
        <v>7</v>
      </c>
      <c r="G972" s="6">
        <v>100000</v>
      </c>
      <c r="H972" s="6">
        <v>700000</v>
      </c>
      <c r="I972" s="6">
        <v>72650.69</v>
      </c>
      <c r="J972" s="6">
        <v>191445.17</v>
      </c>
      <c r="K972" t="s">
        <v>24</v>
      </c>
      <c r="L972" t="s">
        <v>18</v>
      </c>
      <c r="M972" t="s">
        <v>19</v>
      </c>
    </row>
    <row r="973" spans="1:13">
      <c r="A973" s="4" t="s">
        <v>1126</v>
      </c>
      <c r="B973" t="s">
        <v>75</v>
      </c>
      <c r="C973" s="2">
        <v>45838</v>
      </c>
      <c r="D973" s="4" t="s">
        <v>52</v>
      </c>
      <c r="E973" s="4" t="s">
        <v>23</v>
      </c>
      <c r="F973" s="6">
        <v>6</v>
      </c>
      <c r="G973" s="6">
        <v>85000</v>
      </c>
      <c r="H973" s="6">
        <v>510000</v>
      </c>
      <c r="I973" s="6">
        <v>55467.45</v>
      </c>
      <c r="J973" s="6">
        <v>177195.3</v>
      </c>
      <c r="K973" t="s">
        <v>24</v>
      </c>
      <c r="L973" t="s">
        <v>53</v>
      </c>
      <c r="M973" t="s">
        <v>38</v>
      </c>
    </row>
    <row r="974" spans="1:13">
      <c r="A974" s="4" t="s">
        <v>1127</v>
      </c>
      <c r="B974" t="s">
        <v>213</v>
      </c>
      <c r="C974" s="2">
        <v>46005</v>
      </c>
      <c r="D974" s="4" t="s">
        <v>52</v>
      </c>
      <c r="E974" s="4" t="s">
        <v>23</v>
      </c>
      <c r="F974" s="6">
        <v>7</v>
      </c>
      <c r="G974" s="6">
        <v>85000</v>
      </c>
      <c r="H974" s="6">
        <v>595000</v>
      </c>
      <c r="I974" s="6">
        <v>59410.66</v>
      </c>
      <c r="J974" s="6">
        <v>179125.38</v>
      </c>
      <c r="K974" t="s">
        <v>80</v>
      </c>
      <c r="L974" t="s">
        <v>18</v>
      </c>
      <c r="M974" t="s">
        <v>19</v>
      </c>
    </row>
    <row r="975" spans="1:13">
      <c r="A975" s="4" t="s">
        <v>1128</v>
      </c>
      <c r="B975" t="s">
        <v>196</v>
      </c>
      <c r="C975" s="2">
        <v>45926</v>
      </c>
      <c r="D975" s="4" t="s">
        <v>22</v>
      </c>
      <c r="E975" s="4" t="s">
        <v>23</v>
      </c>
      <c r="F975" s="6">
        <v>5</v>
      </c>
      <c r="G975" s="6">
        <v>210000</v>
      </c>
      <c r="H975" s="6">
        <v>1050000</v>
      </c>
      <c r="I975" s="6">
        <v>166382.07</v>
      </c>
      <c r="J975" s="6">
        <v>218089.65</v>
      </c>
      <c r="K975" t="s">
        <v>33</v>
      </c>
      <c r="L975" t="s">
        <v>53</v>
      </c>
      <c r="M975" t="s">
        <v>34</v>
      </c>
    </row>
    <row r="976" spans="1:13">
      <c r="A976" s="4" t="s">
        <v>1129</v>
      </c>
      <c r="B976" t="s">
        <v>138</v>
      </c>
      <c r="C976" s="2">
        <v>45963</v>
      </c>
      <c r="D976" s="4" t="s">
        <v>106</v>
      </c>
      <c r="E976" s="4" t="s">
        <v>23</v>
      </c>
      <c r="F976" s="6">
        <v>9</v>
      </c>
      <c r="G976" s="6">
        <v>120000</v>
      </c>
      <c r="H976" s="6">
        <v>1080000</v>
      </c>
      <c r="I976" s="6">
        <v>78921.22</v>
      </c>
      <c r="J976" s="6">
        <v>369709.02</v>
      </c>
      <c r="K976" t="s">
        <v>24</v>
      </c>
      <c r="L976" t="s">
        <v>29</v>
      </c>
      <c r="M976" t="s">
        <v>25</v>
      </c>
    </row>
    <row r="977" spans="1:13">
      <c r="A977" s="4" t="s">
        <v>1130</v>
      </c>
      <c r="B977" t="s">
        <v>499</v>
      </c>
      <c r="C977" s="2">
        <v>46008</v>
      </c>
      <c r="D977" s="4" t="s">
        <v>37</v>
      </c>
      <c r="E977" s="4" t="s">
        <v>16</v>
      </c>
      <c r="F977" s="6">
        <v>2</v>
      </c>
      <c r="G977" s="6">
        <v>25000</v>
      </c>
      <c r="H977" s="6">
        <v>50000</v>
      </c>
      <c r="I977" s="6">
        <v>19785.080000000002</v>
      </c>
      <c r="J977" s="6">
        <v>10429.84</v>
      </c>
      <c r="K977" t="s">
        <v>17</v>
      </c>
      <c r="L977" t="s">
        <v>18</v>
      </c>
      <c r="M977" t="s">
        <v>38</v>
      </c>
    </row>
    <row r="978" spans="1:13">
      <c r="A978" s="4" t="s">
        <v>1131</v>
      </c>
      <c r="B978" t="s">
        <v>630</v>
      </c>
      <c r="C978" s="2">
        <v>45804</v>
      </c>
      <c r="D978" s="4" t="s">
        <v>22</v>
      </c>
      <c r="E978" s="4" t="s">
        <v>23</v>
      </c>
      <c r="F978" s="6">
        <v>8</v>
      </c>
      <c r="G978" s="6">
        <v>280000</v>
      </c>
      <c r="H978" s="6">
        <v>2240000</v>
      </c>
      <c r="I978" s="6">
        <v>226683.15</v>
      </c>
      <c r="J978" s="6">
        <v>426534.8</v>
      </c>
      <c r="K978" t="s">
        <v>24</v>
      </c>
      <c r="L978" t="s">
        <v>29</v>
      </c>
      <c r="M978" t="s">
        <v>38</v>
      </c>
    </row>
    <row r="979" spans="1:13">
      <c r="A979" s="4" t="s">
        <v>1132</v>
      </c>
      <c r="B979" t="s">
        <v>193</v>
      </c>
      <c r="C979" s="2">
        <v>45724</v>
      </c>
      <c r="D979" s="4" t="s">
        <v>56</v>
      </c>
      <c r="E979" s="4" t="s">
        <v>23</v>
      </c>
      <c r="F979" s="6">
        <v>8</v>
      </c>
      <c r="G979" s="6">
        <v>45000</v>
      </c>
      <c r="H979" s="6">
        <v>360000</v>
      </c>
      <c r="I979" s="6">
        <v>27319.72</v>
      </c>
      <c r="J979" s="6">
        <v>141442.23999999999</v>
      </c>
      <c r="K979" t="s">
        <v>80</v>
      </c>
      <c r="L979" t="s">
        <v>53</v>
      </c>
      <c r="M979" t="s">
        <v>67</v>
      </c>
    </row>
    <row r="980" spans="1:13">
      <c r="A980" s="4" t="s">
        <v>1133</v>
      </c>
      <c r="B980" t="s">
        <v>69</v>
      </c>
      <c r="C980" s="2">
        <v>46020</v>
      </c>
      <c r="D980" s="4" t="s">
        <v>22</v>
      </c>
      <c r="E980" s="4" t="s">
        <v>23</v>
      </c>
      <c r="F980" s="6">
        <v>10</v>
      </c>
      <c r="G980" s="6">
        <v>150000</v>
      </c>
      <c r="H980" s="6">
        <v>1500000</v>
      </c>
      <c r="I980" s="6">
        <v>99354.01</v>
      </c>
      <c r="J980" s="6">
        <v>506459.9</v>
      </c>
      <c r="K980" t="s">
        <v>71</v>
      </c>
      <c r="L980" t="s">
        <v>18</v>
      </c>
      <c r="M980" t="s">
        <v>25</v>
      </c>
    </row>
    <row r="981" spans="1:13">
      <c r="A981" s="4" t="s">
        <v>1134</v>
      </c>
      <c r="B981" t="s">
        <v>176</v>
      </c>
      <c r="C981" s="2">
        <v>45784</v>
      </c>
      <c r="D981" s="4" t="s">
        <v>37</v>
      </c>
      <c r="E981" s="4" t="s">
        <v>16</v>
      </c>
      <c r="F981" s="6">
        <v>8</v>
      </c>
      <c r="G981" s="6">
        <v>18000</v>
      </c>
      <c r="H981" s="6">
        <v>144000</v>
      </c>
      <c r="I981" s="6">
        <v>11110.12</v>
      </c>
      <c r="J981" s="6">
        <v>55119.040000000001</v>
      </c>
      <c r="K981" t="s">
        <v>17</v>
      </c>
      <c r="L981" t="s">
        <v>53</v>
      </c>
      <c r="M981" t="s">
        <v>34</v>
      </c>
    </row>
    <row r="982" spans="1:13">
      <c r="A982" s="4" t="s">
        <v>1135</v>
      </c>
      <c r="B982" t="s">
        <v>109</v>
      </c>
      <c r="C982" s="2">
        <v>45941</v>
      </c>
      <c r="D982" s="4" t="s">
        <v>22</v>
      </c>
      <c r="E982" s="4" t="s">
        <v>23</v>
      </c>
      <c r="F982" s="6">
        <v>3</v>
      </c>
      <c r="G982" s="6">
        <v>150000</v>
      </c>
      <c r="H982" s="6">
        <v>450000</v>
      </c>
      <c r="I982" s="6">
        <v>106120.95</v>
      </c>
      <c r="J982" s="6">
        <v>131637.15</v>
      </c>
      <c r="K982" t="s">
        <v>24</v>
      </c>
      <c r="L982" t="s">
        <v>29</v>
      </c>
      <c r="M982" t="s">
        <v>25</v>
      </c>
    </row>
    <row r="983" spans="1:13">
      <c r="A983" s="4" t="s">
        <v>1136</v>
      </c>
      <c r="B983" t="s">
        <v>141</v>
      </c>
      <c r="C983" s="2">
        <v>45794</v>
      </c>
      <c r="D983" s="4" t="s">
        <v>28</v>
      </c>
      <c r="E983" s="4" t="s">
        <v>23</v>
      </c>
      <c r="F983" s="6">
        <v>8</v>
      </c>
      <c r="G983" s="6">
        <v>180000</v>
      </c>
      <c r="H983" s="6">
        <v>1440000</v>
      </c>
      <c r="I983" s="6">
        <v>110485.91</v>
      </c>
      <c r="J983" s="6">
        <v>556112.72</v>
      </c>
      <c r="K983" t="s">
        <v>24</v>
      </c>
      <c r="L983" t="s">
        <v>29</v>
      </c>
      <c r="M983" t="s">
        <v>34</v>
      </c>
    </row>
    <row r="984" spans="1:13">
      <c r="A984" s="4" t="s">
        <v>1137</v>
      </c>
      <c r="B984" t="s">
        <v>69</v>
      </c>
      <c r="C984" s="2">
        <v>45756</v>
      </c>
      <c r="D984" s="4" t="s">
        <v>63</v>
      </c>
      <c r="E984" s="4" t="s">
        <v>16</v>
      </c>
      <c r="F984" s="6">
        <v>2</v>
      </c>
      <c r="G984" s="6">
        <v>7000</v>
      </c>
      <c r="H984" s="6">
        <v>14000</v>
      </c>
      <c r="I984" s="6">
        <v>5110.3999999999996</v>
      </c>
      <c r="J984" s="6">
        <v>3779.2</v>
      </c>
      <c r="K984" t="s">
        <v>71</v>
      </c>
      <c r="L984" t="s">
        <v>53</v>
      </c>
      <c r="M984" t="s">
        <v>30</v>
      </c>
    </row>
    <row r="985" spans="1:13">
      <c r="A985" s="4" t="s">
        <v>1138</v>
      </c>
      <c r="B985" t="s">
        <v>331</v>
      </c>
      <c r="C985" s="2">
        <v>45818</v>
      </c>
      <c r="D985" s="4" t="s">
        <v>28</v>
      </c>
      <c r="E985" s="4" t="s">
        <v>23</v>
      </c>
      <c r="F985" s="6">
        <v>7</v>
      </c>
      <c r="G985" s="6">
        <f>Cleaned_Data4[[#This Row],[Sales_Amount]]/Cleaned_Data4[[#This Row],[Quantity]]</f>
        <v>220000</v>
      </c>
      <c r="H985" s="6">
        <v>1540000</v>
      </c>
      <c r="I985" s="6">
        <v>162717.70000000001</v>
      </c>
      <c r="J985" s="6">
        <v>400976.1</v>
      </c>
      <c r="K985" t="s">
        <v>71</v>
      </c>
      <c r="L985" t="s">
        <v>18</v>
      </c>
      <c r="M985" t="s">
        <v>30</v>
      </c>
    </row>
    <row r="986" spans="1:13">
      <c r="A986" s="4" t="s">
        <v>1139</v>
      </c>
      <c r="B986" t="s">
        <v>100</v>
      </c>
      <c r="C986" s="2">
        <v>45735</v>
      </c>
      <c r="D986" s="4" t="s">
        <v>37</v>
      </c>
      <c r="E986" s="4" t="s">
        <v>16</v>
      </c>
      <c r="F986" s="6">
        <v>1</v>
      </c>
      <c r="G986" s="6">
        <v>18000</v>
      </c>
      <c r="H986" s="6">
        <v>18000</v>
      </c>
      <c r="I986" s="6">
        <v>10543.29</v>
      </c>
      <c r="J986" s="6">
        <v>7456.71</v>
      </c>
      <c r="K986" t="s">
        <v>24</v>
      </c>
      <c r="L986" t="s">
        <v>18</v>
      </c>
      <c r="M986" t="s">
        <v>34</v>
      </c>
    </row>
    <row r="987" spans="1:13">
      <c r="A987" s="4" t="s">
        <v>1140</v>
      </c>
      <c r="B987" t="s">
        <v>115</v>
      </c>
      <c r="C987" s="2">
        <v>45971</v>
      </c>
      <c r="D987" s="4" t="s">
        <v>52</v>
      </c>
      <c r="E987" s="4" t="s">
        <v>23</v>
      </c>
      <c r="F987" s="6">
        <v>3</v>
      </c>
      <c r="G987" s="6">
        <v>85000</v>
      </c>
      <c r="H987" s="6">
        <v>255000</v>
      </c>
      <c r="I987" s="6">
        <v>69090.77</v>
      </c>
      <c r="J987" s="6">
        <v>47727.69</v>
      </c>
      <c r="K987" t="s">
        <v>17</v>
      </c>
      <c r="L987" t="s">
        <v>29</v>
      </c>
      <c r="M987" t="s">
        <v>34</v>
      </c>
    </row>
    <row r="988" spans="1:13">
      <c r="A988" s="4" t="s">
        <v>1141</v>
      </c>
      <c r="B988" t="s">
        <v>321</v>
      </c>
      <c r="C988" s="2">
        <v>45823</v>
      </c>
      <c r="D988" s="4" t="s">
        <v>22</v>
      </c>
      <c r="E988" s="4" t="s">
        <v>23</v>
      </c>
      <c r="F988" s="6">
        <v>11</v>
      </c>
      <c r="G988" s="6">
        <v>210000</v>
      </c>
      <c r="H988" s="6">
        <v>2310000</v>
      </c>
      <c r="I988" s="6">
        <v>129408.25</v>
      </c>
      <c r="J988" s="6">
        <v>886509.25</v>
      </c>
      <c r="K988" t="s">
        <v>80</v>
      </c>
      <c r="L988" t="s">
        <v>29</v>
      </c>
      <c r="M988" t="s">
        <v>38</v>
      </c>
    </row>
    <row r="989" spans="1:13">
      <c r="A989" s="4" t="s">
        <v>1142</v>
      </c>
      <c r="B989" t="s">
        <v>21</v>
      </c>
      <c r="C989" s="2">
        <v>45702</v>
      </c>
      <c r="D989" s="4" t="s">
        <v>349</v>
      </c>
      <c r="E989" s="4" t="s">
        <v>23</v>
      </c>
      <c r="F989" s="6">
        <v>9</v>
      </c>
      <c r="G989" s="6">
        <v>65000</v>
      </c>
      <c r="H989" s="6">
        <v>585000</v>
      </c>
      <c r="I989" s="6">
        <v>40733.42</v>
      </c>
      <c r="J989" s="6">
        <v>218399.22</v>
      </c>
      <c r="K989" t="s">
        <v>33</v>
      </c>
      <c r="L989" t="s">
        <v>18</v>
      </c>
      <c r="M989" t="s">
        <v>25</v>
      </c>
    </row>
    <row r="990" spans="1:13">
      <c r="A990" s="4" t="s">
        <v>1143</v>
      </c>
      <c r="B990" t="s">
        <v>174</v>
      </c>
      <c r="C990" s="2">
        <v>45682</v>
      </c>
      <c r="D990" s="4" t="s">
        <v>45</v>
      </c>
      <c r="E990" s="4" t="s">
        <v>23</v>
      </c>
      <c r="F990" s="6">
        <v>12</v>
      </c>
      <c r="G990" s="6">
        <v>450000</v>
      </c>
      <c r="H990" s="6">
        <v>5400000</v>
      </c>
      <c r="I990" s="6">
        <v>306011.76</v>
      </c>
      <c r="J990" s="6">
        <v>1727858.88</v>
      </c>
      <c r="K990" t="s">
        <v>17</v>
      </c>
      <c r="L990" t="s">
        <v>18</v>
      </c>
      <c r="M990" t="s">
        <v>19</v>
      </c>
    </row>
    <row r="991" spans="1:13">
      <c r="A991" s="4" t="s">
        <v>1144</v>
      </c>
      <c r="B991" t="s">
        <v>302</v>
      </c>
      <c r="C991" s="2">
        <v>45780</v>
      </c>
      <c r="D991" s="4" t="s">
        <v>15</v>
      </c>
      <c r="E991" s="4" t="s">
        <v>16</v>
      </c>
      <c r="F991" s="6">
        <v>3</v>
      </c>
      <c r="G991" s="6">
        <v>10000</v>
      </c>
      <c r="H991" s="6">
        <v>30000</v>
      </c>
      <c r="I991" s="6">
        <v>7406.7</v>
      </c>
      <c r="J991" s="6">
        <v>7779.9</v>
      </c>
      <c r="K991" t="s">
        <v>71</v>
      </c>
      <c r="L991" t="s">
        <v>29</v>
      </c>
      <c r="M991" t="s">
        <v>38</v>
      </c>
    </row>
    <row r="992" spans="1:13">
      <c r="A992" s="4" t="s">
        <v>1145</v>
      </c>
      <c r="B992" t="s">
        <v>88</v>
      </c>
      <c r="C992" s="2">
        <v>46020</v>
      </c>
      <c r="D992" s="4" t="s">
        <v>15</v>
      </c>
      <c r="E992" s="4" t="s">
        <v>16</v>
      </c>
      <c r="F992" s="6">
        <v>12</v>
      </c>
      <c r="G992" s="6">
        <v>12500</v>
      </c>
      <c r="H992" s="6">
        <v>150000</v>
      </c>
      <c r="I992" s="6">
        <v>9633.3700000000008</v>
      </c>
      <c r="J992" s="6">
        <v>34399.56</v>
      </c>
      <c r="K992" t="s">
        <v>71</v>
      </c>
      <c r="L992" t="s">
        <v>53</v>
      </c>
      <c r="M992" t="s">
        <v>67</v>
      </c>
    </row>
    <row r="993" spans="1:13">
      <c r="A993" s="4" t="s">
        <v>1146</v>
      </c>
      <c r="B993" t="s">
        <v>105</v>
      </c>
      <c r="C993" s="2">
        <v>45690</v>
      </c>
      <c r="D993" s="4" t="s">
        <v>63</v>
      </c>
      <c r="E993" s="4" t="s">
        <v>16</v>
      </c>
      <c r="F993" s="6">
        <v>11</v>
      </c>
      <c r="G993" s="6">
        <v>3000</v>
      </c>
      <c r="H993" s="6">
        <v>33000</v>
      </c>
      <c r="I993" s="6">
        <v>2349.1</v>
      </c>
      <c r="J993" s="6">
        <v>7159.9</v>
      </c>
      <c r="K993" t="s">
        <v>24</v>
      </c>
      <c r="L993" t="s">
        <v>18</v>
      </c>
      <c r="M993" t="s">
        <v>50</v>
      </c>
    </row>
    <row r="994" spans="1:13">
      <c r="A994" s="4" t="s">
        <v>1147</v>
      </c>
      <c r="B994" t="s">
        <v>86</v>
      </c>
      <c r="C994" s="2">
        <v>45920</v>
      </c>
      <c r="D994" s="4" t="s">
        <v>52</v>
      </c>
      <c r="E994" s="4" t="s">
        <v>23</v>
      </c>
      <c r="F994" s="6">
        <v>3</v>
      </c>
      <c r="G994" s="6">
        <v>45000</v>
      </c>
      <c r="H994" s="6">
        <v>135000</v>
      </c>
      <c r="I994" s="6">
        <v>28087.119999999999</v>
      </c>
      <c r="J994" s="6">
        <v>50738.64</v>
      </c>
      <c r="K994" t="s">
        <v>24</v>
      </c>
      <c r="L994" t="s">
        <v>53</v>
      </c>
      <c r="M994" t="s">
        <v>67</v>
      </c>
    </row>
    <row r="995" spans="1:13">
      <c r="A995" s="4" t="s">
        <v>1148</v>
      </c>
      <c r="B995" t="s">
        <v>127</v>
      </c>
      <c r="C995" s="2">
        <v>45781</v>
      </c>
      <c r="D995" s="4" t="s">
        <v>22</v>
      </c>
      <c r="E995" s="4" t="s">
        <v>23</v>
      </c>
      <c r="F995" s="6">
        <v>10</v>
      </c>
      <c r="G995" s="6">
        <v>280000</v>
      </c>
      <c r="H995" s="6">
        <v>2800000</v>
      </c>
      <c r="I995" s="6">
        <v>176775.97</v>
      </c>
      <c r="J995" s="6">
        <v>1032240.3</v>
      </c>
      <c r="K995" t="s">
        <v>33</v>
      </c>
      <c r="L995" t="s">
        <v>18</v>
      </c>
      <c r="M995" t="s">
        <v>19</v>
      </c>
    </row>
    <row r="996" spans="1:13">
      <c r="A996" s="4" t="s">
        <v>1149</v>
      </c>
      <c r="B996" t="s">
        <v>417</v>
      </c>
      <c r="C996" s="2">
        <v>45693</v>
      </c>
      <c r="D996" s="4" t="s">
        <v>1150</v>
      </c>
      <c r="E996" s="4" t="s">
        <v>16</v>
      </c>
      <c r="F996" s="6">
        <v>9</v>
      </c>
      <c r="G996" s="6">
        <v>12500</v>
      </c>
      <c r="H996" s="6">
        <v>112500</v>
      </c>
      <c r="I996" s="6">
        <v>7275.42</v>
      </c>
      <c r="J996" s="6">
        <v>47021.22</v>
      </c>
      <c r="K996" t="s">
        <v>71</v>
      </c>
      <c r="L996" t="s">
        <v>29</v>
      </c>
      <c r="M996" t="s">
        <v>19</v>
      </c>
    </row>
    <row r="997" spans="1:13">
      <c r="A997" s="4" t="s">
        <v>1151</v>
      </c>
      <c r="B997" t="s">
        <v>450</v>
      </c>
      <c r="C997" s="2">
        <v>45806</v>
      </c>
      <c r="D997" s="4" t="s">
        <v>70</v>
      </c>
      <c r="E997" s="4" t="s">
        <v>16</v>
      </c>
      <c r="F997" s="6">
        <v>9</v>
      </c>
      <c r="G997" s="6">
        <v>22000</v>
      </c>
      <c r="H997" s="6">
        <v>198000</v>
      </c>
      <c r="I997" s="6">
        <v>12982.99</v>
      </c>
      <c r="J997" s="6">
        <v>81153.09</v>
      </c>
      <c r="K997" t="s">
        <v>33</v>
      </c>
      <c r="L997" t="s">
        <v>29</v>
      </c>
      <c r="M997" t="s">
        <v>30</v>
      </c>
    </row>
    <row r="998" spans="1:13">
      <c r="A998" s="4" t="s">
        <v>1152</v>
      </c>
      <c r="B998" t="s">
        <v>299</v>
      </c>
      <c r="C998" s="2">
        <v>45705</v>
      </c>
      <c r="D998" s="4" t="s">
        <v>106</v>
      </c>
      <c r="E998" s="4" t="s">
        <v>23</v>
      </c>
      <c r="F998" s="6">
        <v>10</v>
      </c>
      <c r="G998" s="6">
        <v>150000</v>
      </c>
      <c r="H998" s="6">
        <v>1500000</v>
      </c>
      <c r="I998" s="6">
        <v>107486.34</v>
      </c>
      <c r="J998" s="6">
        <v>425136.6</v>
      </c>
      <c r="K998" t="s">
        <v>17</v>
      </c>
      <c r="L998" t="s">
        <v>18</v>
      </c>
      <c r="M998" t="s">
        <v>19</v>
      </c>
    </row>
    <row r="999" spans="1:13">
      <c r="A999" s="4" t="s">
        <v>1153</v>
      </c>
      <c r="B999" t="s">
        <v>103</v>
      </c>
      <c r="C999" s="2">
        <v>45972</v>
      </c>
      <c r="D999" s="4" t="s">
        <v>66</v>
      </c>
      <c r="E999" s="4" t="s">
        <v>49</v>
      </c>
      <c r="F999" s="6">
        <v>1</v>
      </c>
      <c r="G999" s="6">
        <v>175000</v>
      </c>
      <c r="H999" s="6">
        <v>175000</v>
      </c>
      <c r="I999" s="6">
        <v>141735.71</v>
      </c>
      <c r="J999" s="6">
        <v>33264.29</v>
      </c>
      <c r="K999" t="s">
        <v>24</v>
      </c>
      <c r="L999" t="s">
        <v>18</v>
      </c>
      <c r="M999" t="s">
        <v>19</v>
      </c>
    </row>
    <row r="1000" spans="1:13">
      <c r="A1000" s="4" t="s">
        <v>1154</v>
      </c>
      <c r="B1000" t="s">
        <v>165</v>
      </c>
      <c r="C1000" s="2">
        <v>46022</v>
      </c>
      <c r="D1000" s="4" t="s">
        <v>52</v>
      </c>
      <c r="E1000" s="4" t="s">
        <v>23</v>
      </c>
      <c r="F1000" s="6">
        <v>8</v>
      </c>
      <c r="G1000" s="6">
        <v>65000</v>
      </c>
      <c r="H1000" s="6">
        <v>520000</v>
      </c>
      <c r="I1000" s="6">
        <v>50069.75</v>
      </c>
      <c r="J1000" s="6">
        <v>119442</v>
      </c>
      <c r="K1000" t="s">
        <v>24</v>
      </c>
      <c r="L1000" t="s">
        <v>53</v>
      </c>
      <c r="M1000" t="s">
        <v>30</v>
      </c>
    </row>
    <row r="1001" spans="1:13">
      <c r="A1001" s="4" t="s">
        <v>1155</v>
      </c>
      <c r="B1001" t="s">
        <v>105</v>
      </c>
      <c r="C1001" s="2">
        <v>45832</v>
      </c>
      <c r="D1001" s="4" t="s">
        <v>66</v>
      </c>
      <c r="E1001" s="4" t="s">
        <v>49</v>
      </c>
      <c r="F1001" s="6">
        <v>5</v>
      </c>
      <c r="G1001" s="6">
        <v>175000</v>
      </c>
      <c r="H1001" s="6">
        <v>875000</v>
      </c>
      <c r="I1001" s="6">
        <v>108693</v>
      </c>
      <c r="J1001" s="6">
        <v>331535</v>
      </c>
      <c r="K1001" t="s">
        <v>24</v>
      </c>
      <c r="L1001" t="s">
        <v>18</v>
      </c>
      <c r="M1001" t="s">
        <v>34</v>
      </c>
    </row>
    <row r="1002" spans="1:13">
      <c r="A1002" s="4" t="s">
        <v>1156</v>
      </c>
      <c r="B1002" t="s">
        <v>176</v>
      </c>
      <c r="C1002" s="2">
        <v>45994</v>
      </c>
      <c r="D1002" s="4" t="s">
        <v>45</v>
      </c>
      <c r="E1002" s="4" t="s">
        <v>23</v>
      </c>
      <c r="F1002" s="6">
        <v>9</v>
      </c>
      <c r="G1002" s="6">
        <v>520000</v>
      </c>
      <c r="H1002" s="6">
        <v>4680000</v>
      </c>
      <c r="I1002" s="6">
        <v>353173.3</v>
      </c>
      <c r="J1002" s="6">
        <v>1501440.3</v>
      </c>
      <c r="K1002" t="s">
        <v>33</v>
      </c>
      <c r="L1002" t="s">
        <v>29</v>
      </c>
      <c r="M1002" t="s">
        <v>25</v>
      </c>
    </row>
    <row r="1003" spans="1:13">
      <c r="A1003" s="4" t="s">
        <v>1157</v>
      </c>
      <c r="B1003" t="s">
        <v>193</v>
      </c>
      <c r="C1003" s="2" t="s">
        <v>355</v>
      </c>
      <c r="D1003" s="4" t="s">
        <v>45</v>
      </c>
      <c r="E1003" s="4" t="s">
        <v>23</v>
      </c>
      <c r="F1003" s="6">
        <v>7</v>
      </c>
      <c r="G1003" s="6">
        <v>450000</v>
      </c>
      <c r="H1003" s="6">
        <v>3150000</v>
      </c>
      <c r="I1003" s="6">
        <v>295564.48</v>
      </c>
      <c r="J1003" s="6">
        <v>1081048.6399999999</v>
      </c>
      <c r="K1003" t="s">
        <v>24</v>
      </c>
      <c r="L1003" t="s">
        <v>29</v>
      </c>
      <c r="M1003" t="s">
        <v>30</v>
      </c>
    </row>
    <row r="1004" spans="1:13">
      <c r="A1004" s="4" t="s">
        <v>1158</v>
      </c>
      <c r="B1004" t="s">
        <v>321</v>
      </c>
      <c r="C1004" s="2">
        <v>45695</v>
      </c>
      <c r="D1004" s="4" t="s">
        <v>66</v>
      </c>
      <c r="E1004" s="4" t="s">
        <v>49</v>
      </c>
      <c r="F1004" s="6">
        <v>2</v>
      </c>
      <c r="G1004" s="6">
        <v>120000</v>
      </c>
      <c r="H1004" s="6">
        <v>240000</v>
      </c>
      <c r="I1004" s="6">
        <v>87118.97</v>
      </c>
      <c r="J1004" s="6">
        <v>65762.06</v>
      </c>
      <c r="K1004" t="s">
        <v>71</v>
      </c>
      <c r="L1004" t="s">
        <v>29</v>
      </c>
      <c r="M1004" t="s">
        <v>25</v>
      </c>
    </row>
    <row r="1005" spans="1:13">
      <c r="A1005" s="4" t="s">
        <v>1159</v>
      </c>
      <c r="B1005" t="s">
        <v>79</v>
      </c>
      <c r="C1005" s="2">
        <v>45693</v>
      </c>
      <c r="D1005" s="4" t="s">
        <v>66</v>
      </c>
      <c r="E1005" s="4" t="s">
        <v>49</v>
      </c>
      <c r="F1005" s="6">
        <v>8</v>
      </c>
      <c r="G1005" s="6">
        <v>90000</v>
      </c>
      <c r="H1005" s="6">
        <v>720000</v>
      </c>
      <c r="I1005" s="6">
        <v>65382.52</v>
      </c>
      <c r="J1005" s="6">
        <v>196939.84</v>
      </c>
      <c r="K1005" t="s">
        <v>80</v>
      </c>
      <c r="L1005" t="s">
        <v>53</v>
      </c>
      <c r="M1005" t="s">
        <v>50</v>
      </c>
    </row>
    <row r="1006" spans="1:13">
      <c r="A1006" s="4" t="s">
        <v>1160</v>
      </c>
      <c r="B1006" t="s">
        <v>77</v>
      </c>
      <c r="C1006" s="2">
        <v>46002</v>
      </c>
      <c r="D1006" s="4" t="s">
        <v>45</v>
      </c>
      <c r="E1006" s="4" t="s">
        <v>23</v>
      </c>
      <c r="F1006" s="6">
        <v>3</v>
      </c>
      <c r="G1006" s="6">
        <v>520000</v>
      </c>
      <c r="H1006" s="6">
        <v>1560000</v>
      </c>
      <c r="I1006" s="6">
        <v>370962.67</v>
      </c>
      <c r="J1006" s="6">
        <v>447111.99</v>
      </c>
      <c r="K1006" t="s">
        <v>80</v>
      </c>
      <c r="L1006" t="s">
        <v>29</v>
      </c>
      <c r="M1006" t="s">
        <v>25</v>
      </c>
    </row>
    <row r="1007" spans="1:13">
      <c r="A1007" s="4" t="s">
        <v>1161</v>
      </c>
      <c r="B1007" t="s">
        <v>73</v>
      </c>
      <c r="C1007" s="2">
        <v>45736</v>
      </c>
      <c r="D1007" s="4" t="s">
        <v>63</v>
      </c>
      <c r="E1007" s="4" t="s">
        <v>16</v>
      </c>
      <c r="F1007" s="6">
        <v>5</v>
      </c>
      <c r="G1007" s="6">
        <v>7000</v>
      </c>
      <c r="H1007" s="6">
        <v>35000</v>
      </c>
      <c r="I1007" s="6">
        <v>5107.03</v>
      </c>
      <c r="J1007" s="6">
        <v>9464.85</v>
      </c>
      <c r="K1007" t="s">
        <v>17</v>
      </c>
      <c r="L1007" t="s">
        <v>18</v>
      </c>
      <c r="M1007" t="s">
        <v>34</v>
      </c>
    </row>
    <row r="1008" spans="1:13">
      <c r="A1008" s="4" t="s">
        <v>1162</v>
      </c>
      <c r="B1008" t="s">
        <v>115</v>
      </c>
      <c r="C1008" s="2">
        <v>45749</v>
      </c>
      <c r="D1008" s="4" t="s">
        <v>45</v>
      </c>
      <c r="E1008" s="4" t="s">
        <v>23</v>
      </c>
      <c r="F1008" s="6">
        <v>5</v>
      </c>
      <c r="G1008" s="6">
        <v>650000</v>
      </c>
      <c r="H1008" s="6">
        <v>3250000</v>
      </c>
      <c r="I1008" s="6">
        <v>387988.97</v>
      </c>
      <c r="J1008" s="6">
        <v>1310055.1499999999</v>
      </c>
      <c r="K1008" t="s">
        <v>24</v>
      </c>
      <c r="L1008" t="s">
        <v>29</v>
      </c>
      <c r="M1008" t="s">
        <v>30</v>
      </c>
    </row>
    <row r="1009" spans="1:13">
      <c r="A1009" s="4" t="s">
        <v>1163</v>
      </c>
      <c r="B1009" t="s">
        <v>215</v>
      </c>
      <c r="C1009" s="2">
        <v>45678</v>
      </c>
      <c r="D1009" s="4" t="s">
        <v>45</v>
      </c>
      <c r="E1009" s="4" t="s">
        <v>23</v>
      </c>
      <c r="F1009" s="6">
        <v>11</v>
      </c>
      <c r="G1009" s="6">
        <v>520000</v>
      </c>
      <c r="H1009" s="6">
        <v>5720000</v>
      </c>
      <c r="I1009" s="6">
        <v>314482.48</v>
      </c>
      <c r="J1009" s="6">
        <v>2260692.7200000002</v>
      </c>
      <c r="K1009" t="s">
        <v>24</v>
      </c>
      <c r="L1009" t="s">
        <v>18</v>
      </c>
      <c r="M1009" t="s">
        <v>19</v>
      </c>
    </row>
    <row r="1010" spans="1:13">
      <c r="A1010" s="4" t="s">
        <v>1164</v>
      </c>
      <c r="B1010" t="s">
        <v>127</v>
      </c>
      <c r="C1010" s="2">
        <v>45986</v>
      </c>
      <c r="D1010" s="4" t="s">
        <v>45</v>
      </c>
      <c r="E1010" s="4" t="s">
        <v>23</v>
      </c>
      <c r="F1010" s="6">
        <v>10</v>
      </c>
      <c r="G1010" s="6">
        <v>520000</v>
      </c>
      <c r="H1010" s="6">
        <v>5200000</v>
      </c>
      <c r="I1010" s="6">
        <v>382861.02</v>
      </c>
      <c r="J1010" s="6">
        <v>1371389.8</v>
      </c>
      <c r="K1010" t="s">
        <v>33</v>
      </c>
      <c r="L1010" t="s">
        <v>29</v>
      </c>
      <c r="M1010" t="s">
        <v>25</v>
      </c>
    </row>
    <row r="1011" spans="1:13">
      <c r="A1011" s="4" t="s">
        <v>1165</v>
      </c>
      <c r="B1011" t="s">
        <v>65</v>
      </c>
      <c r="C1011" s="2">
        <v>45913</v>
      </c>
      <c r="D1011" s="4" t="s">
        <v>15</v>
      </c>
      <c r="E1011" s="4" t="s">
        <v>16</v>
      </c>
      <c r="F1011" s="6">
        <v>9</v>
      </c>
      <c r="G1011" s="6">
        <v>10000</v>
      </c>
      <c r="H1011" s="6">
        <v>90000</v>
      </c>
      <c r="I1011" s="6">
        <v>6997.02</v>
      </c>
      <c r="J1011" s="6">
        <v>27026.82</v>
      </c>
      <c r="K1011" t="s">
        <v>80</v>
      </c>
      <c r="L1011" t="s">
        <v>53</v>
      </c>
      <c r="M1011" t="s">
        <v>67</v>
      </c>
    </row>
    <row r="1012" spans="1:13">
      <c r="A1012" s="4" t="s">
        <v>1166</v>
      </c>
      <c r="B1012" t="s">
        <v>109</v>
      </c>
      <c r="C1012" s="2">
        <v>45956</v>
      </c>
      <c r="D1012" s="4" t="s">
        <v>56</v>
      </c>
      <c r="E1012" s="4" t="s">
        <v>23</v>
      </c>
      <c r="F1012" s="6">
        <v>8</v>
      </c>
      <c r="G1012" s="6">
        <v>30000</v>
      </c>
      <c r="H1012" s="6">
        <v>240000</v>
      </c>
      <c r="I1012" s="6">
        <v>23872</v>
      </c>
      <c r="J1012" s="6">
        <v>49024</v>
      </c>
      <c r="K1012" t="s">
        <v>17</v>
      </c>
      <c r="L1012" t="s">
        <v>29</v>
      </c>
      <c r="M1012" t="s">
        <v>50</v>
      </c>
    </row>
    <row r="1013" spans="1:13">
      <c r="A1013" s="4" t="s">
        <v>1167</v>
      </c>
      <c r="B1013" t="s">
        <v>316</v>
      </c>
      <c r="C1013" s="2">
        <v>45999</v>
      </c>
      <c r="D1013" s="4" t="s">
        <v>45</v>
      </c>
      <c r="E1013" s="4" t="s">
        <v>23</v>
      </c>
      <c r="F1013" s="6">
        <v>6</v>
      </c>
      <c r="G1013" s="6">
        <v>520000</v>
      </c>
      <c r="H1013" s="6">
        <v>3120000</v>
      </c>
      <c r="I1013" s="6">
        <v>320063.65000000002</v>
      </c>
      <c r="J1013" s="6">
        <v>1199618.1000000001</v>
      </c>
      <c r="K1013" t="s">
        <v>24</v>
      </c>
      <c r="L1013" t="s">
        <v>29</v>
      </c>
      <c r="M1013" t="s">
        <v>19</v>
      </c>
    </row>
    <row r="1014" spans="1:13">
      <c r="A1014" s="4" t="s">
        <v>1168</v>
      </c>
      <c r="B1014" t="s">
        <v>103</v>
      </c>
      <c r="C1014" s="2">
        <v>45938</v>
      </c>
      <c r="D1014" s="4" t="s">
        <v>45</v>
      </c>
      <c r="E1014" s="4" t="s">
        <v>23</v>
      </c>
      <c r="F1014" s="6">
        <v>8</v>
      </c>
      <c r="G1014" s="6">
        <v>450000</v>
      </c>
      <c r="H1014" s="6">
        <v>3600000</v>
      </c>
      <c r="I1014" s="6">
        <v>335326.02</v>
      </c>
      <c r="J1014" s="6">
        <v>917391.84</v>
      </c>
      <c r="K1014" t="s">
        <v>24</v>
      </c>
      <c r="L1014" t="s">
        <v>53</v>
      </c>
      <c r="M1014" t="s">
        <v>67</v>
      </c>
    </row>
    <row r="1015" spans="1:13">
      <c r="A1015" s="4" t="s">
        <v>1169</v>
      </c>
      <c r="B1015" t="s">
        <v>365</v>
      </c>
      <c r="C1015" s="2">
        <v>45870</v>
      </c>
      <c r="D1015" s="4" t="s">
        <v>48</v>
      </c>
      <c r="E1015" s="4" t="s">
        <v>49</v>
      </c>
      <c r="F1015" s="6">
        <v>8</v>
      </c>
      <c r="G1015" s="6">
        <v>200000</v>
      </c>
      <c r="H1015" s="6">
        <v>1600000</v>
      </c>
      <c r="I1015" s="6">
        <v>118771.37</v>
      </c>
      <c r="J1015" s="6">
        <v>649829.04</v>
      </c>
      <c r="K1015" t="s">
        <v>24</v>
      </c>
      <c r="L1015" t="s">
        <v>18</v>
      </c>
      <c r="M1015" t="s">
        <v>67</v>
      </c>
    </row>
    <row r="1016" spans="1:13">
      <c r="A1016" s="4" t="s">
        <v>1170</v>
      </c>
      <c r="B1016" t="s">
        <v>154</v>
      </c>
      <c r="C1016" s="2">
        <v>45744</v>
      </c>
      <c r="D1016" s="4" t="s">
        <v>106</v>
      </c>
      <c r="E1016" s="4" t="s">
        <v>23</v>
      </c>
      <c r="F1016" s="6">
        <v>6</v>
      </c>
      <c r="G1016" s="6">
        <v>200000</v>
      </c>
      <c r="H1016" s="6">
        <v>1200000</v>
      </c>
      <c r="I1016" s="6">
        <v>155436.03</v>
      </c>
      <c r="J1016" s="6">
        <v>267383.82</v>
      </c>
      <c r="K1016" t="s">
        <v>33</v>
      </c>
      <c r="L1016" t="s">
        <v>53</v>
      </c>
      <c r="M1016" t="s">
        <v>30</v>
      </c>
    </row>
    <row r="1017" spans="1:13">
      <c r="A1017" s="4" t="s">
        <v>1171</v>
      </c>
      <c r="B1017" t="s">
        <v>196</v>
      </c>
      <c r="C1017" s="2">
        <v>45984</v>
      </c>
      <c r="D1017" s="4" t="s">
        <v>37</v>
      </c>
      <c r="E1017" s="4" t="s">
        <v>16</v>
      </c>
      <c r="F1017" s="6">
        <v>5</v>
      </c>
      <c r="G1017" s="6">
        <v>25000</v>
      </c>
      <c r="H1017" s="6">
        <v>125000</v>
      </c>
      <c r="I1017" s="6">
        <v>17407.580000000002</v>
      </c>
      <c r="J1017" s="6">
        <v>37962.1</v>
      </c>
      <c r="K1017" t="s">
        <v>24</v>
      </c>
      <c r="L1017" t="s">
        <v>29</v>
      </c>
      <c r="M1017" t="s">
        <v>67</v>
      </c>
    </row>
    <row r="1018" spans="1:13">
      <c r="A1018" s="4" t="s">
        <v>1172</v>
      </c>
      <c r="B1018" t="s">
        <v>111</v>
      </c>
      <c r="C1018" s="2">
        <v>45813</v>
      </c>
      <c r="D1018" s="4" t="s">
        <v>52</v>
      </c>
      <c r="E1018" s="4" t="s">
        <v>23</v>
      </c>
      <c r="F1018" s="6">
        <v>12</v>
      </c>
      <c r="G1018" s="6">
        <v>45000</v>
      </c>
      <c r="H1018" s="6">
        <v>540000</v>
      </c>
      <c r="I1018" s="6">
        <v>31407.98</v>
      </c>
      <c r="J1018" s="6">
        <v>163104.24</v>
      </c>
      <c r="K1018" t="s">
        <v>24</v>
      </c>
      <c r="L1018" t="s">
        <v>18</v>
      </c>
      <c r="M1018" t="s">
        <v>30</v>
      </c>
    </row>
    <row r="1019" spans="1:13">
      <c r="A1019" s="4" t="s">
        <v>1173</v>
      </c>
      <c r="B1019" t="s">
        <v>123</v>
      </c>
      <c r="C1019" s="2">
        <v>45889</v>
      </c>
      <c r="D1019" s="4" t="s">
        <v>56</v>
      </c>
      <c r="E1019" s="4" t="s">
        <v>23</v>
      </c>
      <c r="F1019" s="6">
        <v>5</v>
      </c>
      <c r="G1019" s="6">
        <v>30000</v>
      </c>
      <c r="H1019" s="6">
        <v>150000</v>
      </c>
      <c r="I1019" s="6">
        <v>22168.39</v>
      </c>
      <c r="J1019" s="6">
        <v>39158.050000000003</v>
      </c>
      <c r="K1019" t="s">
        <v>24</v>
      </c>
      <c r="L1019" t="s">
        <v>53</v>
      </c>
      <c r="M1019" t="s">
        <v>30</v>
      </c>
    </row>
    <row r="1020" spans="1:13">
      <c r="A1020" s="4" t="s">
        <v>1174</v>
      </c>
      <c r="B1020" t="s">
        <v>146</v>
      </c>
      <c r="C1020" s="2">
        <v>45746</v>
      </c>
      <c r="D1020" s="4" t="s">
        <v>52</v>
      </c>
      <c r="E1020" s="4" t="s">
        <v>23</v>
      </c>
      <c r="F1020" s="6">
        <v>10</v>
      </c>
      <c r="G1020" s="6">
        <v>45000</v>
      </c>
      <c r="H1020" s="6">
        <v>450000</v>
      </c>
      <c r="I1020" s="6">
        <v>28516.720000000001</v>
      </c>
      <c r="J1020" s="6">
        <v>164832.79999999999</v>
      </c>
      <c r="K1020" t="s">
        <v>24</v>
      </c>
      <c r="L1020" t="s">
        <v>18</v>
      </c>
      <c r="M1020" t="s">
        <v>38</v>
      </c>
    </row>
    <row r="1021" spans="1:13">
      <c r="A1021" s="4" t="s">
        <v>1175</v>
      </c>
      <c r="B1021" t="s">
        <v>193</v>
      </c>
      <c r="C1021" s="2">
        <v>45890</v>
      </c>
      <c r="D1021" s="4" t="s">
        <v>63</v>
      </c>
      <c r="E1021" s="4" t="s">
        <v>16</v>
      </c>
      <c r="F1021" s="6">
        <v>2</v>
      </c>
      <c r="G1021" s="6">
        <v>3000</v>
      </c>
      <c r="H1021" s="6">
        <v>6000</v>
      </c>
      <c r="I1021" s="6">
        <v>2252.38</v>
      </c>
      <c r="J1021" s="6">
        <v>1495.24</v>
      </c>
      <c r="K1021" t="s">
        <v>17</v>
      </c>
      <c r="L1021" t="s">
        <v>53</v>
      </c>
      <c r="M1021" t="s">
        <v>67</v>
      </c>
    </row>
    <row r="1022" spans="1:13">
      <c r="A1022" s="4" t="s">
        <v>1176</v>
      </c>
      <c r="B1022" t="s">
        <v>176</v>
      </c>
      <c r="C1022" s="2">
        <v>45970</v>
      </c>
      <c r="D1022" s="4" t="s">
        <v>15</v>
      </c>
      <c r="E1022" s="4" t="s">
        <v>16</v>
      </c>
      <c r="F1022" s="6">
        <v>4</v>
      </c>
      <c r="G1022" s="6">
        <v>12500</v>
      </c>
      <c r="H1022" s="6">
        <v>50000</v>
      </c>
      <c r="I1022" s="6">
        <v>8121.46</v>
      </c>
      <c r="J1022" s="6">
        <v>17514.16</v>
      </c>
      <c r="K1022" t="s">
        <v>17</v>
      </c>
      <c r="L1022" t="s">
        <v>53</v>
      </c>
      <c r="M1022" t="s">
        <v>67</v>
      </c>
    </row>
    <row r="1023" spans="1:13">
      <c r="A1023" s="4" t="s">
        <v>1177</v>
      </c>
      <c r="B1023" t="s">
        <v>127</v>
      </c>
      <c r="C1023" s="2">
        <v>45819</v>
      </c>
      <c r="D1023" s="4" t="s">
        <v>28</v>
      </c>
      <c r="E1023" s="4" t="s">
        <v>23</v>
      </c>
      <c r="F1023" s="6">
        <v>5</v>
      </c>
      <c r="G1023" s="6">
        <v>220000</v>
      </c>
      <c r="H1023" s="6">
        <v>1100000</v>
      </c>
      <c r="I1023" s="6">
        <v>133720.66</v>
      </c>
      <c r="J1023" s="6">
        <v>431396.7</v>
      </c>
      <c r="K1023" t="s">
        <v>80</v>
      </c>
      <c r="L1023" t="s">
        <v>18</v>
      </c>
      <c r="M1023" t="s">
        <v>34</v>
      </c>
    </row>
    <row r="1024" spans="1:13">
      <c r="A1024" s="4" t="s">
        <v>1178</v>
      </c>
      <c r="B1024" t="s">
        <v>65</v>
      </c>
      <c r="C1024" s="2">
        <v>45871</v>
      </c>
      <c r="D1024" s="4" t="s">
        <v>1179</v>
      </c>
      <c r="E1024" s="4" t="s">
        <v>16</v>
      </c>
      <c r="F1024" s="6">
        <v>4</v>
      </c>
      <c r="G1024" s="6">
        <v>25000</v>
      </c>
      <c r="H1024" s="6">
        <v>100000</v>
      </c>
      <c r="I1024" s="6">
        <v>15416.49</v>
      </c>
      <c r="J1024" s="6">
        <v>38334.04</v>
      </c>
      <c r="K1024" t="s">
        <v>33</v>
      </c>
      <c r="L1024" t="s">
        <v>29</v>
      </c>
      <c r="M1024" t="s">
        <v>30</v>
      </c>
    </row>
    <row r="1025" spans="1:13">
      <c r="A1025" s="4" t="s">
        <v>1180</v>
      </c>
      <c r="B1025" t="s">
        <v>27</v>
      </c>
      <c r="C1025" s="2">
        <v>45739</v>
      </c>
      <c r="D1025" s="4" t="s">
        <v>1179</v>
      </c>
      <c r="E1025" s="4" t="s">
        <v>16</v>
      </c>
      <c r="F1025" s="6">
        <v>5</v>
      </c>
      <c r="G1025" s="6">
        <v>12000</v>
      </c>
      <c r="H1025" s="6">
        <v>60000</v>
      </c>
      <c r="I1025" s="6">
        <v>7043.93</v>
      </c>
      <c r="J1025" s="6">
        <v>24780.35</v>
      </c>
      <c r="K1025" t="s">
        <v>33</v>
      </c>
      <c r="L1025" t="s">
        <v>53</v>
      </c>
      <c r="M1025" t="s">
        <v>38</v>
      </c>
    </row>
    <row r="1026" spans="1:13">
      <c r="A1026" s="4" t="s">
        <v>1181</v>
      </c>
      <c r="B1026" t="s">
        <v>391</v>
      </c>
      <c r="C1026" s="2">
        <v>45761</v>
      </c>
      <c r="D1026" s="4" t="s">
        <v>45</v>
      </c>
      <c r="E1026" s="4" t="s">
        <v>23</v>
      </c>
      <c r="F1026" s="6">
        <v>2</v>
      </c>
      <c r="G1026" s="6">
        <v>520000</v>
      </c>
      <c r="H1026" s="6">
        <v>1040000</v>
      </c>
      <c r="I1026" s="6">
        <v>325513.76</v>
      </c>
      <c r="J1026" s="6">
        <v>388972.48</v>
      </c>
      <c r="K1026" t="s">
        <v>33</v>
      </c>
      <c r="L1026" t="s">
        <v>18</v>
      </c>
      <c r="M1026" t="s">
        <v>34</v>
      </c>
    </row>
    <row r="1027" spans="1:13">
      <c r="A1027" s="4" t="s">
        <v>1182</v>
      </c>
      <c r="B1027" t="s">
        <v>103</v>
      </c>
      <c r="C1027" s="2">
        <v>45982</v>
      </c>
      <c r="D1027" s="4" t="s">
        <v>70</v>
      </c>
      <c r="E1027" s="4" t="s">
        <v>16</v>
      </c>
      <c r="F1027" s="6">
        <v>7</v>
      </c>
      <c r="G1027" s="6">
        <v>22000</v>
      </c>
      <c r="H1027" s="6">
        <v>154000</v>
      </c>
      <c r="I1027" s="6">
        <v>15025.25</v>
      </c>
      <c r="J1027" s="6">
        <v>48823.25</v>
      </c>
      <c r="K1027" t="s">
        <v>80</v>
      </c>
      <c r="L1027" t="s">
        <v>53</v>
      </c>
      <c r="M1027" t="s">
        <v>67</v>
      </c>
    </row>
    <row r="1028" spans="1:13">
      <c r="A1028" s="4" t="s">
        <v>1183</v>
      </c>
      <c r="B1028" t="s">
        <v>169</v>
      </c>
      <c r="C1028" s="2">
        <v>45957</v>
      </c>
      <c r="D1028" s="4" t="s">
        <v>66</v>
      </c>
      <c r="E1028" s="4" t="s">
        <v>49</v>
      </c>
      <c r="F1028" s="6">
        <v>8</v>
      </c>
      <c r="G1028" s="6">
        <v>90000</v>
      </c>
      <c r="H1028" s="6">
        <v>720000</v>
      </c>
      <c r="I1028" s="6">
        <v>71434.559999999998</v>
      </c>
      <c r="J1028" s="6">
        <v>148523.51999999999</v>
      </c>
      <c r="K1028" t="s">
        <v>71</v>
      </c>
      <c r="L1028" t="s">
        <v>18</v>
      </c>
      <c r="M1028" t="s">
        <v>30</v>
      </c>
    </row>
    <row r="1029" spans="1:13">
      <c r="A1029" s="4" t="s">
        <v>1184</v>
      </c>
      <c r="B1029" t="s">
        <v>125</v>
      </c>
      <c r="C1029" s="2">
        <v>45861</v>
      </c>
      <c r="D1029" s="4" t="s">
        <v>48</v>
      </c>
      <c r="E1029" s="4" t="s">
        <v>49</v>
      </c>
      <c r="F1029" s="6">
        <v>4</v>
      </c>
      <c r="G1029" s="6">
        <v>140000</v>
      </c>
      <c r="H1029" s="6">
        <v>560000</v>
      </c>
      <c r="I1029" s="6">
        <v>108914.88</v>
      </c>
      <c r="J1029" s="6">
        <v>124340.48</v>
      </c>
      <c r="K1029" t="s">
        <v>24</v>
      </c>
      <c r="L1029" t="s">
        <v>29</v>
      </c>
      <c r="M1029" t="s">
        <v>34</v>
      </c>
    </row>
    <row r="1030" spans="1:13">
      <c r="A1030" s="4" t="s">
        <v>1185</v>
      </c>
      <c r="B1030" t="s">
        <v>86</v>
      </c>
      <c r="C1030" s="2">
        <v>45688</v>
      </c>
      <c r="D1030" s="4" t="s">
        <v>63</v>
      </c>
      <c r="E1030" s="4" t="s">
        <v>16</v>
      </c>
      <c r="F1030" s="6">
        <v>10</v>
      </c>
      <c r="G1030" s="6">
        <v>7000</v>
      </c>
      <c r="H1030" s="6">
        <v>70000</v>
      </c>
      <c r="I1030" s="6">
        <v>5180.1499999999996</v>
      </c>
      <c r="J1030" s="6">
        <v>18198.5</v>
      </c>
      <c r="K1030" t="s">
        <v>80</v>
      </c>
      <c r="L1030" t="s">
        <v>18</v>
      </c>
      <c r="M1030" t="s">
        <v>30</v>
      </c>
    </row>
    <row r="1031" spans="1:13">
      <c r="A1031" s="4" t="s">
        <v>1186</v>
      </c>
      <c r="B1031" t="s">
        <v>215</v>
      </c>
      <c r="C1031" s="2">
        <v>45839</v>
      </c>
      <c r="D1031" s="4" t="s">
        <v>22</v>
      </c>
      <c r="E1031" s="4" t="s">
        <v>23</v>
      </c>
      <c r="F1031" s="6">
        <v>3</v>
      </c>
      <c r="G1031" s="6">
        <v>280000</v>
      </c>
      <c r="H1031" s="6">
        <v>840000</v>
      </c>
      <c r="I1031" s="6">
        <v>200209.03</v>
      </c>
      <c r="J1031" s="6">
        <v>239372.91</v>
      </c>
      <c r="K1031" t="s">
        <v>80</v>
      </c>
      <c r="L1031" t="s">
        <v>29</v>
      </c>
      <c r="M1031" t="s">
        <v>34</v>
      </c>
    </row>
    <row r="1032" spans="1:13">
      <c r="A1032" s="4" t="s">
        <v>1187</v>
      </c>
      <c r="B1032" t="s">
        <v>121</v>
      </c>
      <c r="C1032" s="2">
        <v>45944</v>
      </c>
      <c r="D1032" s="4" t="s">
        <v>48</v>
      </c>
      <c r="E1032" s="4" t="s">
        <v>49</v>
      </c>
      <c r="F1032" s="6">
        <v>1</v>
      </c>
      <c r="G1032" s="6">
        <v>140000</v>
      </c>
      <c r="H1032" s="6">
        <v>140000</v>
      </c>
      <c r="I1032" s="6">
        <v>92752.22</v>
      </c>
      <c r="J1032" s="6">
        <v>47247.78</v>
      </c>
      <c r="K1032" t="s">
        <v>71</v>
      </c>
      <c r="L1032" t="s">
        <v>53</v>
      </c>
      <c r="M1032" t="s">
        <v>19</v>
      </c>
    </row>
    <row r="1033" spans="1:13">
      <c r="A1033" s="4" t="s">
        <v>1188</v>
      </c>
      <c r="B1033" t="s">
        <v>73</v>
      </c>
      <c r="C1033" s="2">
        <v>45825</v>
      </c>
      <c r="D1033" s="4" t="s">
        <v>70</v>
      </c>
      <c r="E1033" s="4" t="s">
        <v>16</v>
      </c>
      <c r="F1033" s="6">
        <v>4</v>
      </c>
      <c r="G1033" s="6">
        <v>22000</v>
      </c>
      <c r="H1033" s="6">
        <v>88000</v>
      </c>
      <c r="I1033" s="6">
        <v>14485.75</v>
      </c>
      <c r="J1033" s="6">
        <v>30057</v>
      </c>
      <c r="K1033" t="s">
        <v>80</v>
      </c>
      <c r="L1033" t="s">
        <v>29</v>
      </c>
      <c r="M1033" t="s">
        <v>34</v>
      </c>
    </row>
    <row r="1034" spans="1:13">
      <c r="A1034" s="4" t="s">
        <v>1189</v>
      </c>
      <c r="B1034" t="s">
        <v>86</v>
      </c>
      <c r="C1034" s="2">
        <v>45801</v>
      </c>
      <c r="D1034" s="4" t="s">
        <v>48</v>
      </c>
      <c r="E1034" s="4" t="s">
        <v>49</v>
      </c>
      <c r="F1034" s="6">
        <v>8</v>
      </c>
      <c r="G1034" s="6">
        <v>200000</v>
      </c>
      <c r="H1034" s="6">
        <v>1600000</v>
      </c>
      <c r="I1034" s="6">
        <v>119755.26</v>
      </c>
      <c r="J1034" s="6">
        <v>641957.92000000004</v>
      </c>
      <c r="K1034" t="s">
        <v>17</v>
      </c>
      <c r="L1034" t="s">
        <v>53</v>
      </c>
      <c r="M1034" t="s">
        <v>30</v>
      </c>
    </row>
    <row r="1035" spans="1:13">
      <c r="A1035" s="4" t="s">
        <v>1190</v>
      </c>
      <c r="B1035" t="s">
        <v>165</v>
      </c>
      <c r="C1035" s="2">
        <v>45675</v>
      </c>
      <c r="D1035" s="4" t="s">
        <v>66</v>
      </c>
      <c r="E1035" s="4" t="s">
        <v>49</v>
      </c>
      <c r="F1035" s="6">
        <v>10</v>
      </c>
      <c r="G1035" s="6">
        <v>120000</v>
      </c>
      <c r="H1035" s="6">
        <v>1200000</v>
      </c>
      <c r="I1035" s="6">
        <v>90691.96</v>
      </c>
      <c r="J1035" s="6">
        <v>293080.40000000002</v>
      </c>
      <c r="K1035" t="s">
        <v>24</v>
      </c>
      <c r="L1035" t="s">
        <v>29</v>
      </c>
      <c r="M1035" t="s">
        <v>38</v>
      </c>
    </row>
    <row r="1036" spans="1:13">
      <c r="A1036" s="4" t="s">
        <v>1191</v>
      </c>
      <c r="B1036" t="s">
        <v>343</v>
      </c>
      <c r="C1036" s="2">
        <v>45915</v>
      </c>
      <c r="D1036" s="4" t="s">
        <v>48</v>
      </c>
      <c r="E1036" s="4" t="s">
        <v>49</v>
      </c>
      <c r="F1036" s="6">
        <v>2</v>
      </c>
      <c r="G1036" s="6">
        <v>100000</v>
      </c>
      <c r="H1036" s="6">
        <v>200000</v>
      </c>
      <c r="I1036" s="6">
        <v>69573.78</v>
      </c>
      <c r="J1036" s="6">
        <v>60852.44</v>
      </c>
      <c r="K1036" t="s">
        <v>33</v>
      </c>
      <c r="L1036" t="s">
        <v>18</v>
      </c>
      <c r="M1036" t="s">
        <v>34</v>
      </c>
    </row>
    <row r="1037" spans="1:13">
      <c r="A1037" s="4" t="s">
        <v>1192</v>
      </c>
      <c r="B1037" t="s">
        <v>165</v>
      </c>
      <c r="C1037" s="2">
        <v>45866</v>
      </c>
      <c r="D1037" s="4" t="s">
        <v>28</v>
      </c>
      <c r="E1037" s="4" t="s">
        <v>23</v>
      </c>
      <c r="F1037" s="6">
        <v>6</v>
      </c>
      <c r="G1037" s="6">
        <v>300000</v>
      </c>
      <c r="H1037" s="6">
        <v>1800000</v>
      </c>
      <c r="I1037" s="6">
        <v>221335</v>
      </c>
      <c r="J1037" s="6">
        <v>471990</v>
      </c>
      <c r="K1037" t="s">
        <v>80</v>
      </c>
      <c r="L1037" t="s">
        <v>18</v>
      </c>
      <c r="M1037" t="s">
        <v>34</v>
      </c>
    </row>
    <row r="1038" spans="1:13">
      <c r="A1038" s="4" t="s">
        <v>1193</v>
      </c>
      <c r="B1038" t="s">
        <v>165</v>
      </c>
      <c r="C1038" s="2">
        <v>45950</v>
      </c>
      <c r="D1038" s="4" t="s">
        <v>28</v>
      </c>
      <c r="E1038" s="4" t="s">
        <v>23</v>
      </c>
      <c r="F1038" s="6">
        <v>12</v>
      </c>
      <c r="G1038" s="6">
        <v>300000</v>
      </c>
      <c r="H1038" s="6">
        <v>3600000</v>
      </c>
      <c r="I1038" s="6">
        <v>212084.16</v>
      </c>
      <c r="J1038" s="6">
        <v>1054990.08</v>
      </c>
      <c r="K1038" t="s">
        <v>80</v>
      </c>
      <c r="L1038" t="s">
        <v>18</v>
      </c>
      <c r="M1038" t="s">
        <v>38</v>
      </c>
    </row>
    <row r="1039" spans="1:13">
      <c r="A1039" s="4" t="s">
        <v>1194</v>
      </c>
      <c r="B1039" t="s">
        <v>113</v>
      </c>
      <c r="C1039" s="2">
        <v>45882</v>
      </c>
      <c r="D1039" s="4" t="s">
        <v>15</v>
      </c>
      <c r="E1039" s="4" t="s">
        <v>16</v>
      </c>
      <c r="F1039" s="6">
        <v>10</v>
      </c>
      <c r="G1039" s="6">
        <v>10000</v>
      </c>
      <c r="H1039" s="6">
        <v>100000</v>
      </c>
      <c r="I1039" s="6">
        <v>7450.87</v>
      </c>
      <c r="J1039" s="6">
        <v>25491.3</v>
      </c>
      <c r="K1039" t="s">
        <v>71</v>
      </c>
      <c r="L1039" t="s">
        <v>29</v>
      </c>
      <c r="M1039" t="s">
        <v>30</v>
      </c>
    </row>
    <row r="1040" spans="1:13">
      <c r="A1040" s="4" t="s">
        <v>1195</v>
      </c>
      <c r="B1040" t="s">
        <v>138</v>
      </c>
      <c r="C1040" s="2">
        <v>45837</v>
      </c>
      <c r="D1040" s="4" t="s">
        <v>48</v>
      </c>
      <c r="E1040" s="4" t="s">
        <v>49</v>
      </c>
      <c r="F1040" s="6">
        <v>9</v>
      </c>
      <c r="G1040" s="6">
        <v>140000</v>
      </c>
      <c r="H1040" s="6">
        <v>1260000</v>
      </c>
      <c r="I1040" s="6">
        <v>90307.35</v>
      </c>
      <c r="J1040" s="6">
        <v>447233.85</v>
      </c>
      <c r="K1040" t="s">
        <v>24</v>
      </c>
      <c r="L1040" t="s">
        <v>18</v>
      </c>
      <c r="M1040" t="s">
        <v>50</v>
      </c>
    </row>
    <row r="1041" spans="1:13">
      <c r="A1041" s="4" t="s">
        <v>1196</v>
      </c>
      <c r="B1041" t="s">
        <v>44</v>
      </c>
      <c r="C1041" s="2">
        <v>45673</v>
      </c>
      <c r="D1041" s="4" t="s">
        <v>106</v>
      </c>
      <c r="E1041" s="4" t="s">
        <v>23</v>
      </c>
      <c r="F1041" s="6">
        <v>4</v>
      </c>
      <c r="G1041" s="6">
        <v>150000</v>
      </c>
      <c r="H1041" s="6">
        <v>600000</v>
      </c>
      <c r="I1041" s="6">
        <v>112279.99</v>
      </c>
      <c r="J1041" s="6">
        <v>150880.04</v>
      </c>
      <c r="K1041" t="s">
        <v>24</v>
      </c>
      <c r="L1041" t="s">
        <v>18</v>
      </c>
      <c r="M1041" t="s">
        <v>30</v>
      </c>
    </row>
    <row r="1042" spans="1:13">
      <c r="A1042" s="4" t="s">
        <v>1197</v>
      </c>
      <c r="B1042" t="s">
        <v>127</v>
      </c>
      <c r="C1042" s="2">
        <v>45744</v>
      </c>
      <c r="D1042" s="4" t="s">
        <v>48</v>
      </c>
      <c r="E1042" s="4" t="s">
        <v>49</v>
      </c>
      <c r="F1042" s="6">
        <v>5</v>
      </c>
      <c r="G1042" s="6">
        <v>100000</v>
      </c>
      <c r="H1042" s="6">
        <v>500000</v>
      </c>
      <c r="I1042" s="6">
        <v>62384.05</v>
      </c>
      <c r="J1042" s="6">
        <v>188079.75</v>
      </c>
      <c r="K1042" t="s">
        <v>17</v>
      </c>
      <c r="L1042" t="s">
        <v>53</v>
      </c>
      <c r="M1042" t="s">
        <v>19</v>
      </c>
    </row>
    <row r="1043" spans="1:13">
      <c r="A1043" s="4" t="s">
        <v>1198</v>
      </c>
      <c r="B1043" t="s">
        <v>391</v>
      </c>
      <c r="C1043" s="2">
        <v>45932</v>
      </c>
      <c r="D1043" s="4" t="s">
        <v>22</v>
      </c>
      <c r="E1043" s="4" t="s">
        <v>23</v>
      </c>
      <c r="F1043" s="6">
        <v>9</v>
      </c>
      <c r="G1043" s="6">
        <v>280000</v>
      </c>
      <c r="H1043" s="6">
        <v>2520000</v>
      </c>
      <c r="I1043" s="6">
        <v>221252.62</v>
      </c>
      <c r="J1043" s="6">
        <v>528726.42000000004</v>
      </c>
      <c r="K1043" t="s">
        <v>33</v>
      </c>
      <c r="L1043" t="s">
        <v>53</v>
      </c>
      <c r="M1043" t="s">
        <v>30</v>
      </c>
    </row>
    <row r="1044" spans="1:13">
      <c r="A1044" s="4" t="s">
        <v>1199</v>
      </c>
      <c r="B1044" t="s">
        <v>40</v>
      </c>
      <c r="C1044" s="2">
        <v>45853</v>
      </c>
      <c r="D1044" s="4" t="s">
        <v>66</v>
      </c>
      <c r="E1044" s="4" t="s">
        <v>49</v>
      </c>
      <c r="F1044" s="6">
        <v>3</v>
      </c>
      <c r="G1044" s="6">
        <v>120000</v>
      </c>
      <c r="H1044" s="6">
        <v>360000</v>
      </c>
      <c r="I1044" s="6">
        <v>94262.53</v>
      </c>
      <c r="J1044" s="6">
        <v>77212.41</v>
      </c>
      <c r="K1044" t="s">
        <v>71</v>
      </c>
      <c r="L1044" t="s">
        <v>29</v>
      </c>
      <c r="M1044" t="s">
        <v>38</v>
      </c>
    </row>
    <row r="1045" spans="1:13">
      <c r="A1045" s="4" t="s">
        <v>1200</v>
      </c>
      <c r="B1045" t="s">
        <v>149</v>
      </c>
      <c r="C1045" s="2">
        <v>45694</v>
      </c>
      <c r="D1045" s="4" t="s">
        <v>63</v>
      </c>
      <c r="E1045" s="4" t="s">
        <v>16</v>
      </c>
      <c r="F1045" s="6">
        <v>9</v>
      </c>
      <c r="G1045" s="6">
        <v>3000</v>
      </c>
      <c r="H1045" s="6">
        <v>27000</v>
      </c>
      <c r="I1045" s="6">
        <v>1940.5</v>
      </c>
      <c r="J1045" s="6">
        <v>9535.5</v>
      </c>
      <c r="K1045" t="s">
        <v>71</v>
      </c>
      <c r="L1045" t="s">
        <v>18</v>
      </c>
      <c r="M1045" t="s">
        <v>50</v>
      </c>
    </row>
    <row r="1046" spans="1:13">
      <c r="A1046" s="4" t="s">
        <v>1201</v>
      </c>
      <c r="B1046" t="s">
        <v>627</v>
      </c>
      <c r="C1046" s="2">
        <v>45765</v>
      </c>
      <c r="D1046" s="4" t="s">
        <v>63</v>
      </c>
      <c r="E1046" s="4" t="s">
        <v>16</v>
      </c>
      <c r="F1046" s="6">
        <v>11</v>
      </c>
      <c r="G1046" s="6">
        <v>5000</v>
      </c>
      <c r="H1046" s="6">
        <v>55000</v>
      </c>
      <c r="I1046" s="6">
        <v>3742.18</v>
      </c>
      <c r="J1046" s="6">
        <v>13836.02</v>
      </c>
      <c r="K1046" t="s">
        <v>17</v>
      </c>
      <c r="L1046" t="s">
        <v>18</v>
      </c>
      <c r="M1046" t="s">
        <v>38</v>
      </c>
    </row>
    <row r="1047" spans="1:13">
      <c r="A1047" s="4" t="s">
        <v>1202</v>
      </c>
      <c r="B1047" t="s">
        <v>294</v>
      </c>
      <c r="C1047" s="2">
        <v>45871</v>
      </c>
      <c r="D1047" s="4" t="s">
        <v>56</v>
      </c>
      <c r="E1047" s="4" t="s">
        <v>23</v>
      </c>
      <c r="F1047" s="6">
        <v>7</v>
      </c>
      <c r="G1047" s="6">
        <v>30000</v>
      </c>
      <c r="H1047" s="6">
        <v>210000</v>
      </c>
      <c r="I1047" s="6">
        <v>19559.2</v>
      </c>
      <c r="J1047" s="6">
        <v>73085.600000000006</v>
      </c>
      <c r="K1047" t="s">
        <v>33</v>
      </c>
      <c r="L1047" t="s">
        <v>29</v>
      </c>
      <c r="M1047" t="s">
        <v>50</v>
      </c>
    </row>
    <row r="1048" spans="1:13">
      <c r="A1048" s="4" t="s">
        <v>1203</v>
      </c>
      <c r="B1048" t="s">
        <v>316</v>
      </c>
      <c r="C1048" s="2">
        <v>45883</v>
      </c>
      <c r="D1048" s="4" t="s">
        <v>15</v>
      </c>
      <c r="E1048" s="4" t="s">
        <v>16</v>
      </c>
      <c r="F1048" s="6">
        <v>8</v>
      </c>
      <c r="G1048" s="6">
        <v>8000</v>
      </c>
      <c r="H1048" s="6">
        <v>64000</v>
      </c>
      <c r="I1048" s="6">
        <v>6544.33</v>
      </c>
      <c r="J1048" s="6">
        <v>11645.36</v>
      </c>
      <c r="K1048" t="s">
        <v>71</v>
      </c>
      <c r="L1048" t="s">
        <v>18</v>
      </c>
      <c r="M1048" t="s">
        <v>50</v>
      </c>
    </row>
    <row r="1049" spans="1:13">
      <c r="A1049" s="4" t="s">
        <v>1204</v>
      </c>
      <c r="B1049" t="s">
        <v>154</v>
      </c>
      <c r="C1049" s="2">
        <v>45901</v>
      </c>
      <c r="D1049" s="4" t="s">
        <v>56</v>
      </c>
      <c r="E1049" s="4" t="s">
        <v>23</v>
      </c>
      <c r="F1049" s="6">
        <v>6</v>
      </c>
      <c r="G1049" s="6">
        <v>70000</v>
      </c>
      <c r="H1049" s="6">
        <v>420000</v>
      </c>
      <c r="I1049" s="6">
        <v>50501.59</v>
      </c>
      <c r="J1049" s="6">
        <v>116990.46</v>
      </c>
      <c r="K1049" t="s">
        <v>17</v>
      </c>
      <c r="L1049" t="s">
        <v>53</v>
      </c>
      <c r="M1049" t="s">
        <v>34</v>
      </c>
    </row>
    <row r="1050" spans="1:13">
      <c r="A1050" s="4" t="s">
        <v>1205</v>
      </c>
      <c r="B1050" t="s">
        <v>231</v>
      </c>
      <c r="C1050" s="2">
        <v>45820</v>
      </c>
      <c r="D1050" s="4" t="s">
        <v>66</v>
      </c>
      <c r="E1050" s="4" t="s">
        <v>49</v>
      </c>
      <c r="F1050" s="6">
        <v>8</v>
      </c>
      <c r="G1050" s="6">
        <f>Cleaned_Data4[[#This Row],[Sales_Amount]]/Cleaned_Data4[[#This Row],[Quantity]]</f>
        <v>120000</v>
      </c>
      <c r="H1050" s="6">
        <v>960000</v>
      </c>
      <c r="I1050" s="6">
        <v>85742.04</v>
      </c>
      <c r="J1050" s="6">
        <v>274063.68</v>
      </c>
      <c r="K1050" t="s">
        <v>24</v>
      </c>
      <c r="L1050" t="s">
        <v>29</v>
      </c>
      <c r="M1050" t="s">
        <v>67</v>
      </c>
    </row>
    <row r="1051" spans="1:13">
      <c r="A1051" s="4" t="s">
        <v>1206</v>
      </c>
      <c r="B1051" t="s">
        <v>100</v>
      </c>
      <c r="C1051" s="2">
        <v>45840</v>
      </c>
      <c r="D1051" s="4" t="s">
        <v>52</v>
      </c>
      <c r="E1051" s="4" t="s">
        <v>23</v>
      </c>
      <c r="F1051" s="6">
        <v>6</v>
      </c>
      <c r="G1051" s="6">
        <v>65000</v>
      </c>
      <c r="H1051" s="6">
        <v>390000</v>
      </c>
      <c r="I1051" s="6">
        <v>44988.22</v>
      </c>
      <c r="J1051" s="6">
        <v>120070.68</v>
      </c>
      <c r="K1051" t="s">
        <v>24</v>
      </c>
      <c r="L1051" t="s">
        <v>18</v>
      </c>
      <c r="M1051" t="s">
        <v>30</v>
      </c>
    </row>
    <row r="1052" spans="1:13">
      <c r="A1052" s="4" t="s">
        <v>1207</v>
      </c>
      <c r="B1052" t="s">
        <v>918</v>
      </c>
      <c r="C1052" s="2">
        <v>45789</v>
      </c>
      <c r="D1052" s="4" t="s">
        <v>15</v>
      </c>
      <c r="E1052" s="4" t="s">
        <v>16</v>
      </c>
      <c r="F1052" s="6">
        <v>8</v>
      </c>
      <c r="G1052" s="6">
        <v>10000</v>
      </c>
      <c r="H1052" s="6">
        <v>80000</v>
      </c>
      <c r="I1052" s="6">
        <v>7591.74</v>
      </c>
      <c r="J1052" s="6">
        <v>19266.080000000002</v>
      </c>
      <c r="K1052" t="s">
        <v>17</v>
      </c>
      <c r="L1052" t="s">
        <v>29</v>
      </c>
      <c r="M1052" t="s">
        <v>67</v>
      </c>
    </row>
    <row r="1053" spans="1:13">
      <c r="A1053" s="4" t="s">
        <v>1208</v>
      </c>
      <c r="B1053" t="s">
        <v>321</v>
      </c>
      <c r="C1053" s="2">
        <v>45817</v>
      </c>
      <c r="D1053" s="4" t="s">
        <v>52</v>
      </c>
      <c r="E1053" s="4" t="s">
        <v>23</v>
      </c>
      <c r="F1053" s="6">
        <v>10</v>
      </c>
      <c r="G1053" s="6">
        <v>45000</v>
      </c>
      <c r="H1053" s="6">
        <v>450000</v>
      </c>
      <c r="I1053" s="6">
        <v>35932.199999999997</v>
      </c>
      <c r="J1053" s="6">
        <v>90678</v>
      </c>
      <c r="K1053" t="s">
        <v>24</v>
      </c>
      <c r="L1053" t="s">
        <v>53</v>
      </c>
      <c r="M1053" t="s">
        <v>19</v>
      </c>
    </row>
    <row r="1054" spans="1:13">
      <c r="A1054" s="4" t="s">
        <v>1209</v>
      </c>
      <c r="B1054" t="s">
        <v>44</v>
      </c>
      <c r="C1054" s="2">
        <v>45980</v>
      </c>
      <c r="D1054" s="4" t="s">
        <v>48</v>
      </c>
      <c r="E1054" s="4" t="s">
        <v>49</v>
      </c>
      <c r="F1054" s="6">
        <v>1</v>
      </c>
      <c r="G1054" s="6">
        <v>100000</v>
      </c>
      <c r="H1054" s="6">
        <v>100000</v>
      </c>
      <c r="I1054" s="6">
        <v>64988.3</v>
      </c>
      <c r="J1054" s="6">
        <v>35011.699999999997</v>
      </c>
      <c r="K1054" t="s">
        <v>24</v>
      </c>
      <c r="L1054" t="s">
        <v>29</v>
      </c>
      <c r="M1054" t="s">
        <v>30</v>
      </c>
    </row>
    <row r="1055" spans="1:13">
      <c r="A1055" s="4" t="s">
        <v>1210</v>
      </c>
      <c r="B1055" t="s">
        <v>123</v>
      </c>
      <c r="C1055" s="2">
        <v>45896</v>
      </c>
      <c r="D1055" s="4" t="s">
        <v>63</v>
      </c>
      <c r="E1055" s="4" t="s">
        <v>16</v>
      </c>
      <c r="F1055" s="6">
        <v>12</v>
      </c>
      <c r="G1055" s="6">
        <v>3000</v>
      </c>
      <c r="H1055" s="6">
        <v>36000</v>
      </c>
      <c r="I1055" s="6">
        <v>1768.76</v>
      </c>
      <c r="J1055" s="6">
        <v>14774.88</v>
      </c>
      <c r="K1055" t="s">
        <v>33</v>
      </c>
      <c r="L1055" t="s">
        <v>53</v>
      </c>
      <c r="M1055" t="s">
        <v>34</v>
      </c>
    </row>
    <row r="1056" spans="1:13">
      <c r="A1056" s="4" t="s">
        <v>1211</v>
      </c>
      <c r="B1056" t="s">
        <v>222</v>
      </c>
      <c r="C1056" s="2">
        <v>45903</v>
      </c>
      <c r="D1056" s="4" t="s">
        <v>56</v>
      </c>
      <c r="E1056" s="4" t="s">
        <v>23</v>
      </c>
      <c r="F1056" s="6">
        <v>1</v>
      </c>
      <c r="G1056" s="6">
        <v>30000</v>
      </c>
      <c r="H1056" s="6">
        <v>30000</v>
      </c>
      <c r="I1056" s="6">
        <v>22281.66</v>
      </c>
      <c r="J1056" s="6">
        <v>7718.34</v>
      </c>
      <c r="K1056" t="s">
        <v>24</v>
      </c>
      <c r="L1056" t="s">
        <v>53</v>
      </c>
      <c r="M1056" t="s">
        <v>30</v>
      </c>
    </row>
    <row r="1057" spans="1:13">
      <c r="A1057" s="4" t="s">
        <v>1212</v>
      </c>
      <c r="B1057" t="s">
        <v>127</v>
      </c>
      <c r="C1057" s="2">
        <v>45868</v>
      </c>
      <c r="D1057" s="4" t="s">
        <v>37</v>
      </c>
      <c r="E1057" s="4" t="s">
        <v>16</v>
      </c>
      <c r="F1057" s="6">
        <v>10</v>
      </c>
      <c r="G1057" s="6">
        <v>12000</v>
      </c>
      <c r="H1057" s="6">
        <v>120000</v>
      </c>
      <c r="I1057" s="6">
        <v>9248.49</v>
      </c>
      <c r="J1057" s="6">
        <v>27515.1</v>
      </c>
      <c r="K1057" t="s">
        <v>71</v>
      </c>
      <c r="L1057" t="s">
        <v>18</v>
      </c>
      <c r="M1057" t="s">
        <v>38</v>
      </c>
    </row>
    <row r="1058" spans="1:13">
      <c r="A1058" s="4" t="s">
        <v>1213</v>
      </c>
      <c r="B1058" t="s">
        <v>176</v>
      </c>
      <c r="C1058" s="2">
        <v>45710</v>
      </c>
      <c r="D1058" s="4" t="s">
        <v>15</v>
      </c>
      <c r="E1058" s="4" t="s">
        <v>16</v>
      </c>
      <c r="F1058" s="6">
        <v>4</v>
      </c>
      <c r="G1058" s="6">
        <v>8000</v>
      </c>
      <c r="H1058" s="6">
        <v>32000</v>
      </c>
      <c r="I1058" s="6">
        <v>5606.5</v>
      </c>
      <c r="J1058" s="6">
        <v>9574</v>
      </c>
      <c r="K1058" t="s">
        <v>33</v>
      </c>
      <c r="L1058" t="s">
        <v>18</v>
      </c>
      <c r="M1058" t="s">
        <v>38</v>
      </c>
    </row>
    <row r="1059" spans="1:13">
      <c r="A1059" s="4" t="s">
        <v>1214</v>
      </c>
      <c r="B1059" t="s">
        <v>245</v>
      </c>
      <c r="C1059" s="2">
        <v>45661</v>
      </c>
      <c r="D1059" s="4" t="s">
        <v>22</v>
      </c>
      <c r="E1059" s="4" t="s">
        <v>23</v>
      </c>
      <c r="F1059" s="6">
        <v>4</v>
      </c>
      <c r="G1059" s="6">
        <v>280000</v>
      </c>
      <c r="H1059" s="6">
        <v>1120000</v>
      </c>
      <c r="I1059" s="6">
        <v>181089.19</v>
      </c>
      <c r="J1059" s="6">
        <v>395643.24</v>
      </c>
      <c r="K1059" t="s">
        <v>33</v>
      </c>
      <c r="L1059" t="s">
        <v>53</v>
      </c>
      <c r="M1059" t="s">
        <v>67</v>
      </c>
    </row>
    <row r="1060" spans="1:13">
      <c r="A1060" s="4" t="s">
        <v>1215</v>
      </c>
      <c r="B1060" t="s">
        <v>627</v>
      </c>
      <c r="C1060" s="2">
        <v>45924</v>
      </c>
      <c r="D1060" s="4" t="s">
        <v>66</v>
      </c>
      <c r="E1060" s="4" t="s">
        <v>49</v>
      </c>
      <c r="F1060" s="6">
        <v>10</v>
      </c>
      <c r="G1060" s="6">
        <v>175000</v>
      </c>
      <c r="H1060" s="6">
        <v>1750000</v>
      </c>
      <c r="I1060" s="6">
        <v>115689.08</v>
      </c>
      <c r="J1060" s="6">
        <v>593109.19999999995</v>
      </c>
      <c r="K1060" t="s">
        <v>71</v>
      </c>
      <c r="L1060" t="s">
        <v>29</v>
      </c>
      <c r="M1060" t="s">
        <v>30</v>
      </c>
    </row>
    <row r="1061" spans="1:13">
      <c r="A1061" s="4" t="s">
        <v>1216</v>
      </c>
      <c r="B1061" t="s">
        <v>359</v>
      </c>
      <c r="C1061" s="2">
        <v>45957</v>
      </c>
      <c r="D1061" s="4" t="s">
        <v>48</v>
      </c>
      <c r="E1061" s="4" t="s">
        <v>49</v>
      </c>
      <c r="F1061" s="6">
        <v>8</v>
      </c>
      <c r="G1061" s="6">
        <v>100000</v>
      </c>
      <c r="H1061" s="6">
        <v>800000</v>
      </c>
      <c r="I1061" s="6">
        <v>75455.17</v>
      </c>
      <c r="J1061" s="6">
        <v>196358.64</v>
      </c>
      <c r="K1061" t="s">
        <v>33</v>
      </c>
      <c r="L1061" t="s">
        <v>53</v>
      </c>
      <c r="M1061" t="s">
        <v>50</v>
      </c>
    </row>
    <row r="1062" spans="1:13">
      <c r="A1062" s="4" t="s">
        <v>1217</v>
      </c>
      <c r="B1062" t="s">
        <v>351</v>
      </c>
      <c r="C1062" s="2">
        <v>45934</v>
      </c>
      <c r="D1062" s="4" t="s">
        <v>37</v>
      </c>
      <c r="E1062" s="4" t="s">
        <v>16</v>
      </c>
      <c r="F1062" s="6">
        <v>4</v>
      </c>
      <c r="G1062" s="6">
        <v>12000</v>
      </c>
      <c r="H1062" s="6">
        <v>48000</v>
      </c>
      <c r="I1062" s="6">
        <v>7363.59</v>
      </c>
      <c r="J1062" s="6">
        <v>18545.64</v>
      </c>
      <c r="K1062" t="s">
        <v>71</v>
      </c>
      <c r="L1062" t="s">
        <v>18</v>
      </c>
      <c r="M1062" t="s">
        <v>25</v>
      </c>
    </row>
    <row r="1063" spans="1:13">
      <c r="A1063" s="4" t="s">
        <v>1218</v>
      </c>
      <c r="B1063" t="s">
        <v>149</v>
      </c>
      <c r="C1063" s="2">
        <v>45905</v>
      </c>
      <c r="D1063" s="4" t="s">
        <v>15</v>
      </c>
      <c r="E1063" s="4" t="s">
        <v>16</v>
      </c>
      <c r="F1063" s="6">
        <v>6</v>
      </c>
      <c r="G1063" s="6">
        <v>8000</v>
      </c>
      <c r="H1063" s="6">
        <v>48000</v>
      </c>
      <c r="I1063" s="6">
        <v>5060.13</v>
      </c>
      <c r="J1063" s="6">
        <v>17639.22</v>
      </c>
      <c r="K1063" t="s">
        <v>71</v>
      </c>
      <c r="L1063" t="s">
        <v>53</v>
      </c>
      <c r="M1063" t="s">
        <v>19</v>
      </c>
    </row>
    <row r="1064" spans="1:13">
      <c r="A1064" s="4" t="s">
        <v>1219</v>
      </c>
      <c r="B1064" t="s">
        <v>129</v>
      </c>
      <c r="C1064" s="2">
        <v>45704</v>
      </c>
      <c r="D1064" s="4" t="s">
        <v>28</v>
      </c>
      <c r="E1064" s="4" t="s">
        <v>23</v>
      </c>
      <c r="F1064" s="6">
        <v>2</v>
      </c>
      <c r="G1064" s="6">
        <v>180000</v>
      </c>
      <c r="H1064" s="6">
        <v>360000</v>
      </c>
      <c r="I1064" s="6">
        <v>123057.07</v>
      </c>
      <c r="J1064" s="6">
        <v>113885.86</v>
      </c>
      <c r="K1064" t="s">
        <v>24</v>
      </c>
      <c r="L1064" t="s">
        <v>53</v>
      </c>
      <c r="M1064" t="s">
        <v>25</v>
      </c>
    </row>
    <row r="1065" spans="1:13">
      <c r="A1065" s="4" t="s">
        <v>1220</v>
      </c>
      <c r="B1065" t="s">
        <v>79</v>
      </c>
      <c r="C1065" s="2">
        <v>45782</v>
      </c>
      <c r="D1065" s="4" t="s">
        <v>45</v>
      </c>
      <c r="E1065" s="4" t="s">
        <v>23</v>
      </c>
      <c r="F1065" s="6">
        <v>12</v>
      </c>
      <c r="G1065" s="6">
        <v>650000</v>
      </c>
      <c r="H1065" s="6">
        <v>7800000</v>
      </c>
      <c r="I1065" s="6">
        <v>397363.89</v>
      </c>
      <c r="J1065" s="6">
        <v>3031633.32</v>
      </c>
      <c r="K1065" t="s">
        <v>17</v>
      </c>
      <c r="L1065" t="s">
        <v>29</v>
      </c>
      <c r="M1065" t="s">
        <v>34</v>
      </c>
    </row>
    <row r="1066" spans="1:13">
      <c r="A1066" s="4" t="s">
        <v>1221</v>
      </c>
      <c r="B1066" t="s">
        <v>169</v>
      </c>
      <c r="C1066" s="2">
        <v>45700</v>
      </c>
      <c r="D1066" s="4" t="s">
        <v>66</v>
      </c>
      <c r="E1066" s="4" t="s">
        <v>49</v>
      </c>
      <c r="F1066" s="6">
        <v>11</v>
      </c>
      <c r="G1066" s="6">
        <v>175000</v>
      </c>
      <c r="H1066" s="6">
        <v>1925000</v>
      </c>
      <c r="I1066" s="6">
        <v>110045.19</v>
      </c>
      <c r="J1066" s="6">
        <v>714502.91</v>
      </c>
      <c r="K1066" t="s">
        <v>24</v>
      </c>
      <c r="L1066" t="s">
        <v>18</v>
      </c>
      <c r="M1066" t="s">
        <v>50</v>
      </c>
    </row>
    <row r="1067" spans="1:13">
      <c r="A1067" s="4" t="s">
        <v>1222</v>
      </c>
      <c r="B1067" t="s">
        <v>75</v>
      </c>
      <c r="C1067" s="2">
        <v>45946</v>
      </c>
      <c r="D1067" s="4" t="s">
        <v>22</v>
      </c>
      <c r="E1067" s="4" t="s">
        <v>23</v>
      </c>
      <c r="F1067" s="6">
        <v>2</v>
      </c>
      <c r="G1067" s="6">
        <v>150000</v>
      </c>
      <c r="H1067" s="6">
        <v>300000</v>
      </c>
      <c r="I1067" s="6">
        <v>106354.84</v>
      </c>
      <c r="J1067" s="6">
        <v>87290.32</v>
      </c>
      <c r="K1067" t="s">
        <v>24</v>
      </c>
      <c r="L1067" t="s">
        <v>53</v>
      </c>
      <c r="M1067" t="s">
        <v>19</v>
      </c>
    </row>
    <row r="1068" spans="1:13">
      <c r="A1068" s="4" t="s">
        <v>1223</v>
      </c>
      <c r="B1068" t="s">
        <v>62</v>
      </c>
      <c r="C1068" s="2">
        <v>45820</v>
      </c>
      <c r="D1068" s="4" t="s">
        <v>63</v>
      </c>
      <c r="E1068" s="4" t="s">
        <v>16</v>
      </c>
      <c r="F1068" s="6">
        <v>10</v>
      </c>
      <c r="G1068" s="6">
        <v>5000</v>
      </c>
      <c r="H1068" s="6">
        <v>50000</v>
      </c>
      <c r="I1068" s="6">
        <v>4072.38</v>
      </c>
      <c r="J1068" s="6">
        <v>9276.2000000000007</v>
      </c>
      <c r="K1068" t="s">
        <v>17</v>
      </c>
      <c r="L1068" t="s">
        <v>18</v>
      </c>
      <c r="M1068" t="s">
        <v>25</v>
      </c>
    </row>
    <row r="1069" spans="1:13">
      <c r="A1069" s="4" t="s">
        <v>1224</v>
      </c>
      <c r="B1069" t="s">
        <v>176</v>
      </c>
      <c r="C1069" s="2">
        <v>45847</v>
      </c>
      <c r="D1069" s="4" t="s">
        <v>66</v>
      </c>
      <c r="E1069" s="4" t="s">
        <v>49</v>
      </c>
      <c r="F1069" s="6">
        <v>2</v>
      </c>
      <c r="G1069" s="6">
        <v>175000</v>
      </c>
      <c r="H1069" s="6">
        <v>350000</v>
      </c>
      <c r="I1069" s="6">
        <v>131932.56</v>
      </c>
      <c r="J1069" s="6">
        <v>86134.88</v>
      </c>
      <c r="K1069" t="s">
        <v>17</v>
      </c>
      <c r="L1069" t="s">
        <v>29</v>
      </c>
      <c r="M1069" t="s">
        <v>30</v>
      </c>
    </row>
    <row r="1070" spans="1:13">
      <c r="A1070" s="4" t="s">
        <v>1225</v>
      </c>
      <c r="B1070" t="s">
        <v>359</v>
      </c>
      <c r="C1070" s="2">
        <v>45715</v>
      </c>
      <c r="D1070" s="4" t="s">
        <v>37</v>
      </c>
      <c r="E1070" s="4" t="s">
        <v>16</v>
      </c>
      <c r="F1070" s="6">
        <v>3</v>
      </c>
      <c r="G1070" s="6">
        <v>25000</v>
      </c>
      <c r="H1070" s="6">
        <v>75000</v>
      </c>
      <c r="I1070" s="6">
        <v>19562.689999999999</v>
      </c>
      <c r="J1070" s="6">
        <v>16311.93</v>
      </c>
      <c r="K1070" t="s">
        <v>80</v>
      </c>
      <c r="L1070" t="s">
        <v>53</v>
      </c>
      <c r="M1070" t="s">
        <v>50</v>
      </c>
    </row>
    <row r="1071" spans="1:13">
      <c r="A1071" s="4" t="s">
        <v>1226</v>
      </c>
      <c r="B1071" t="s">
        <v>278</v>
      </c>
      <c r="C1071" s="2">
        <v>45913</v>
      </c>
      <c r="D1071" s="4" t="s">
        <v>15</v>
      </c>
      <c r="E1071" s="4" t="s">
        <v>16</v>
      </c>
      <c r="F1071" s="6">
        <v>5</v>
      </c>
      <c r="G1071" s="6">
        <v>12500</v>
      </c>
      <c r="H1071" s="6">
        <v>62500</v>
      </c>
      <c r="I1071" s="6">
        <v>8331.7800000000007</v>
      </c>
      <c r="J1071" s="6">
        <v>20841.099999999999</v>
      </c>
      <c r="K1071" t="s">
        <v>24</v>
      </c>
      <c r="L1071" t="s">
        <v>29</v>
      </c>
      <c r="M1071" t="s">
        <v>25</v>
      </c>
    </row>
    <row r="1072" spans="1:13">
      <c r="A1072" s="4" t="s">
        <v>1227</v>
      </c>
      <c r="B1072" t="s">
        <v>127</v>
      </c>
      <c r="C1072" s="2">
        <v>45952</v>
      </c>
      <c r="D1072" s="4" t="s">
        <v>70</v>
      </c>
      <c r="E1072" s="4" t="s">
        <v>16</v>
      </c>
      <c r="F1072" s="6">
        <v>1</v>
      </c>
      <c r="G1072" s="6">
        <v>35000</v>
      </c>
      <c r="H1072" s="6">
        <v>35000</v>
      </c>
      <c r="I1072" s="6">
        <v>26243.89</v>
      </c>
      <c r="J1072" s="6">
        <v>8756.11</v>
      </c>
      <c r="K1072" t="s">
        <v>80</v>
      </c>
      <c r="L1072" t="s">
        <v>29</v>
      </c>
      <c r="M1072" t="s">
        <v>30</v>
      </c>
    </row>
    <row r="1073" spans="1:13">
      <c r="A1073" s="4" t="s">
        <v>1228</v>
      </c>
      <c r="B1073" t="s">
        <v>65</v>
      </c>
      <c r="C1073" s="2">
        <v>45989</v>
      </c>
      <c r="D1073" s="4" t="s">
        <v>37</v>
      </c>
      <c r="E1073" s="4" t="s">
        <v>16</v>
      </c>
      <c r="F1073" s="6">
        <v>2</v>
      </c>
      <c r="G1073" s="6">
        <v>12000</v>
      </c>
      <c r="H1073" s="6">
        <v>24000</v>
      </c>
      <c r="I1073" s="6">
        <v>8341.77</v>
      </c>
      <c r="J1073" s="6">
        <v>7316.46</v>
      </c>
      <c r="K1073" t="s">
        <v>71</v>
      </c>
      <c r="L1073" t="s">
        <v>18</v>
      </c>
      <c r="M1073" t="s">
        <v>30</v>
      </c>
    </row>
    <row r="1074" spans="1:13">
      <c r="A1074" s="4" t="s">
        <v>1229</v>
      </c>
      <c r="B1074" t="s">
        <v>133</v>
      </c>
      <c r="C1074" s="2" t="s">
        <v>355</v>
      </c>
      <c r="D1074" s="4" t="s">
        <v>45</v>
      </c>
      <c r="E1074" s="4" t="s">
        <v>23</v>
      </c>
      <c r="F1074" s="6">
        <v>6</v>
      </c>
      <c r="G1074" s="6">
        <v>520000</v>
      </c>
      <c r="H1074" s="6">
        <v>3120000</v>
      </c>
      <c r="I1074" s="6">
        <v>316042.18</v>
      </c>
      <c r="J1074" s="6">
        <v>1223746.92</v>
      </c>
      <c r="K1074" t="s">
        <v>80</v>
      </c>
      <c r="L1074" t="s">
        <v>18</v>
      </c>
      <c r="M1074" t="s">
        <v>38</v>
      </c>
    </row>
    <row r="1075" spans="1:13">
      <c r="A1075" s="4" t="s">
        <v>1230</v>
      </c>
      <c r="B1075" t="s">
        <v>60</v>
      </c>
      <c r="C1075" s="2">
        <v>45704</v>
      </c>
      <c r="D1075" s="4" t="s">
        <v>28</v>
      </c>
      <c r="E1075" s="4" t="s">
        <v>23</v>
      </c>
      <c r="F1075" s="6">
        <v>2</v>
      </c>
      <c r="G1075" s="6">
        <v>300000</v>
      </c>
      <c r="H1075" s="6">
        <v>600000</v>
      </c>
      <c r="I1075" s="6">
        <v>206356.69</v>
      </c>
      <c r="J1075" s="6">
        <v>187286.62</v>
      </c>
      <c r="K1075" t="s">
        <v>17</v>
      </c>
      <c r="L1075" t="s">
        <v>18</v>
      </c>
      <c r="M1075" t="s">
        <v>38</v>
      </c>
    </row>
    <row r="1076" spans="1:13">
      <c r="A1076" s="4" t="s">
        <v>1231</v>
      </c>
      <c r="B1076" t="s">
        <v>359</v>
      </c>
      <c r="C1076" s="2">
        <v>45824</v>
      </c>
      <c r="D1076" s="4" t="s">
        <v>63</v>
      </c>
      <c r="E1076" s="4" t="s">
        <v>16</v>
      </c>
      <c r="F1076" s="6">
        <v>8</v>
      </c>
      <c r="G1076" s="6">
        <v>5000</v>
      </c>
      <c r="H1076" s="6">
        <v>40000</v>
      </c>
      <c r="I1076" s="6">
        <v>2936.32</v>
      </c>
      <c r="J1076" s="6">
        <v>16509.439999999999</v>
      </c>
      <c r="K1076" t="s">
        <v>17</v>
      </c>
      <c r="L1076" t="s">
        <v>29</v>
      </c>
      <c r="M1076" t="s">
        <v>30</v>
      </c>
    </row>
    <row r="1077" spans="1:13">
      <c r="A1077" s="4" t="s">
        <v>1232</v>
      </c>
      <c r="B1077" t="s">
        <v>111</v>
      </c>
      <c r="C1077" s="2">
        <v>45914</v>
      </c>
      <c r="D1077" s="4" t="s">
        <v>70</v>
      </c>
      <c r="E1077" s="4" t="s">
        <v>16</v>
      </c>
      <c r="F1077" s="6">
        <v>7</v>
      </c>
      <c r="G1077" s="6">
        <v>35000</v>
      </c>
      <c r="H1077" s="6">
        <v>245000</v>
      </c>
      <c r="I1077" s="6">
        <v>21395.15</v>
      </c>
      <c r="J1077" s="6">
        <v>95233.95</v>
      </c>
      <c r="K1077" t="s">
        <v>80</v>
      </c>
      <c r="L1077" t="s">
        <v>18</v>
      </c>
      <c r="M1077" t="s">
        <v>50</v>
      </c>
    </row>
    <row r="1078" spans="1:13">
      <c r="A1078" s="4" t="s">
        <v>1233</v>
      </c>
      <c r="B1078" t="s">
        <v>261</v>
      </c>
      <c r="C1078" s="2">
        <v>45889</v>
      </c>
      <c r="D1078" s="4" t="s">
        <v>28</v>
      </c>
      <c r="E1078" s="4" t="s">
        <v>23</v>
      </c>
      <c r="F1078" s="6">
        <v>9</v>
      </c>
      <c r="G1078" s="6">
        <v>180000</v>
      </c>
      <c r="H1078" s="6">
        <v>1620000</v>
      </c>
      <c r="I1078" s="6">
        <v>145241.96</v>
      </c>
      <c r="J1078" s="6">
        <v>312822.36</v>
      </c>
      <c r="K1078" t="s">
        <v>33</v>
      </c>
      <c r="L1078" t="s">
        <v>29</v>
      </c>
      <c r="M1078" t="s">
        <v>30</v>
      </c>
    </row>
    <row r="1079" spans="1:13">
      <c r="A1079" s="4" t="s">
        <v>1234</v>
      </c>
      <c r="B1079" t="s">
        <v>308</v>
      </c>
      <c r="C1079" s="2">
        <v>45668</v>
      </c>
      <c r="D1079" s="4" t="s">
        <v>15</v>
      </c>
      <c r="E1079" s="4" t="s">
        <v>16</v>
      </c>
      <c r="F1079" s="6">
        <v>9</v>
      </c>
      <c r="G1079" s="6">
        <v>10000</v>
      </c>
      <c r="H1079" s="6">
        <v>90000</v>
      </c>
      <c r="I1079" s="6">
        <v>5889.71</v>
      </c>
      <c r="J1079" s="6">
        <v>36992.61</v>
      </c>
      <c r="K1079" t="s">
        <v>80</v>
      </c>
      <c r="L1079" t="s">
        <v>18</v>
      </c>
      <c r="M1079" t="s">
        <v>25</v>
      </c>
    </row>
    <row r="1080" spans="1:13">
      <c r="A1080" s="4" t="s">
        <v>1235</v>
      </c>
      <c r="B1080" t="s">
        <v>69</v>
      </c>
      <c r="C1080" s="2">
        <v>45827</v>
      </c>
      <c r="D1080" s="4" t="s">
        <v>66</v>
      </c>
      <c r="E1080" s="4" t="s">
        <v>49</v>
      </c>
      <c r="F1080" s="6">
        <v>9</v>
      </c>
      <c r="G1080" s="6">
        <v>175000</v>
      </c>
      <c r="H1080" s="6">
        <v>1575000</v>
      </c>
      <c r="I1080" s="6">
        <v>126697.95</v>
      </c>
      <c r="J1080" s="6">
        <v>434718.45</v>
      </c>
      <c r="K1080" t="s">
        <v>24</v>
      </c>
      <c r="L1080" t="s">
        <v>18</v>
      </c>
      <c r="M1080" t="s">
        <v>30</v>
      </c>
    </row>
    <row r="1081" spans="1:13">
      <c r="A1081" s="4" t="s">
        <v>1236</v>
      </c>
      <c r="B1081" t="s">
        <v>90</v>
      </c>
      <c r="C1081" s="2">
        <v>45918</v>
      </c>
      <c r="D1081" s="4" t="s">
        <v>22</v>
      </c>
      <c r="E1081" s="4" t="s">
        <v>23</v>
      </c>
      <c r="F1081" s="6">
        <v>4</v>
      </c>
      <c r="G1081" s="6">
        <v>280000</v>
      </c>
      <c r="H1081" s="6">
        <v>1120000</v>
      </c>
      <c r="I1081" s="6">
        <v>188725.67</v>
      </c>
      <c r="J1081" s="6">
        <v>365097.32</v>
      </c>
      <c r="K1081" t="s">
        <v>17</v>
      </c>
      <c r="L1081" t="s">
        <v>53</v>
      </c>
      <c r="M1081" t="s">
        <v>30</v>
      </c>
    </row>
    <row r="1082" spans="1:13">
      <c r="A1082" s="4" t="s">
        <v>1237</v>
      </c>
      <c r="B1082" t="s">
        <v>123</v>
      </c>
      <c r="C1082" s="2">
        <v>45868</v>
      </c>
      <c r="D1082" s="4" t="s">
        <v>63</v>
      </c>
      <c r="E1082" s="4" t="s">
        <v>16</v>
      </c>
      <c r="F1082" s="6">
        <v>10</v>
      </c>
      <c r="G1082" s="6">
        <v>5000</v>
      </c>
      <c r="H1082" s="6">
        <v>50000</v>
      </c>
      <c r="I1082" s="6">
        <v>3686.91</v>
      </c>
      <c r="J1082" s="6">
        <v>13130.9</v>
      </c>
      <c r="K1082" t="s">
        <v>80</v>
      </c>
      <c r="L1082" t="s">
        <v>18</v>
      </c>
      <c r="M1082" t="s">
        <v>38</v>
      </c>
    </row>
    <row r="1083" spans="1:13">
      <c r="A1083" s="4" t="s">
        <v>1238</v>
      </c>
      <c r="B1083" t="s">
        <v>234</v>
      </c>
      <c r="C1083" s="2">
        <v>45842</v>
      </c>
      <c r="D1083" s="4" t="s">
        <v>63</v>
      </c>
      <c r="E1083" s="4" t="s">
        <v>16</v>
      </c>
      <c r="F1083" s="6">
        <v>5</v>
      </c>
      <c r="G1083" s="6">
        <v>3000</v>
      </c>
      <c r="H1083" s="6">
        <v>15000</v>
      </c>
      <c r="I1083" s="6">
        <v>2424.2199999999998</v>
      </c>
      <c r="J1083" s="6">
        <v>2878.9</v>
      </c>
      <c r="K1083" t="s">
        <v>33</v>
      </c>
      <c r="L1083" t="s">
        <v>29</v>
      </c>
      <c r="M1083" t="s">
        <v>25</v>
      </c>
    </row>
    <row r="1084" spans="1:13">
      <c r="A1084" s="4" t="s">
        <v>1239</v>
      </c>
      <c r="B1084" t="s">
        <v>294</v>
      </c>
      <c r="C1084" s="2">
        <v>45921</v>
      </c>
      <c r="D1084" s="4" t="s">
        <v>28</v>
      </c>
      <c r="E1084" s="4" t="s">
        <v>23</v>
      </c>
      <c r="F1084" s="6">
        <v>11</v>
      </c>
      <c r="G1084" s="6">
        <v>220000</v>
      </c>
      <c r="H1084" s="6">
        <v>2420000</v>
      </c>
      <c r="I1084" s="6">
        <v>138768.1</v>
      </c>
      <c r="J1084" s="6">
        <v>893550.9</v>
      </c>
      <c r="K1084" t="s">
        <v>71</v>
      </c>
      <c r="L1084" t="s">
        <v>29</v>
      </c>
      <c r="M1084" t="s">
        <v>25</v>
      </c>
    </row>
    <row r="1085" spans="1:13">
      <c r="A1085" s="4" t="s">
        <v>1240</v>
      </c>
      <c r="B1085" t="s">
        <v>200</v>
      </c>
      <c r="C1085" s="2">
        <v>45799</v>
      </c>
      <c r="D1085" s="4" t="s">
        <v>63</v>
      </c>
      <c r="E1085" s="4" t="s">
        <v>16</v>
      </c>
      <c r="F1085" s="6">
        <v>11</v>
      </c>
      <c r="G1085" s="6">
        <v>5000</v>
      </c>
      <c r="H1085" s="6">
        <v>55000</v>
      </c>
      <c r="I1085" s="6">
        <v>3933.79</v>
      </c>
      <c r="J1085" s="6">
        <v>11728.31</v>
      </c>
      <c r="K1085" t="s">
        <v>24</v>
      </c>
      <c r="L1085" t="s">
        <v>53</v>
      </c>
      <c r="M1085" t="s">
        <v>50</v>
      </c>
    </row>
    <row r="1086" spans="1:13">
      <c r="A1086" s="4" t="s">
        <v>1241</v>
      </c>
      <c r="B1086" t="s">
        <v>335</v>
      </c>
      <c r="C1086" s="2">
        <v>45693</v>
      </c>
      <c r="D1086" s="4" t="s">
        <v>56</v>
      </c>
      <c r="E1086" s="4" t="s">
        <v>23</v>
      </c>
      <c r="F1086" s="6">
        <v>7</v>
      </c>
      <c r="G1086" s="6">
        <v>70000</v>
      </c>
      <c r="H1086" s="6">
        <v>490000</v>
      </c>
      <c r="I1086" s="6">
        <v>48988.29</v>
      </c>
      <c r="J1086" s="6">
        <v>147081.97</v>
      </c>
      <c r="K1086" t="s">
        <v>24</v>
      </c>
      <c r="L1086" t="s">
        <v>53</v>
      </c>
      <c r="M1086" t="s">
        <v>19</v>
      </c>
    </row>
    <row r="1087" spans="1:13">
      <c r="A1087" s="4" t="s">
        <v>1242</v>
      </c>
      <c r="B1087" t="s">
        <v>79</v>
      </c>
      <c r="C1087" s="2">
        <v>45699</v>
      </c>
      <c r="D1087" s="4" t="s">
        <v>63</v>
      </c>
      <c r="E1087" s="4" t="s">
        <v>16</v>
      </c>
      <c r="F1087" s="6">
        <v>8</v>
      </c>
      <c r="G1087" s="6">
        <v>5000</v>
      </c>
      <c r="H1087" s="6">
        <v>40000</v>
      </c>
      <c r="I1087" s="6">
        <v>3677.35</v>
      </c>
      <c r="J1087" s="6">
        <v>10581.2</v>
      </c>
      <c r="K1087" t="s">
        <v>33</v>
      </c>
      <c r="L1087" t="s">
        <v>53</v>
      </c>
      <c r="M1087" t="s">
        <v>30</v>
      </c>
    </row>
    <row r="1088" spans="1:13">
      <c r="A1088" s="4" t="s">
        <v>1243</v>
      </c>
      <c r="B1088" t="s">
        <v>359</v>
      </c>
      <c r="C1088" s="2">
        <v>45848</v>
      </c>
      <c r="D1088" s="4" t="s">
        <v>37</v>
      </c>
      <c r="E1088" s="4" t="s">
        <v>16</v>
      </c>
      <c r="F1088" s="6">
        <v>8</v>
      </c>
      <c r="G1088" s="6">
        <v>25000</v>
      </c>
      <c r="H1088" s="6">
        <v>200000</v>
      </c>
      <c r="I1088" s="6">
        <v>17176.62</v>
      </c>
      <c r="J1088" s="6">
        <v>62587.040000000001</v>
      </c>
      <c r="K1088" t="s">
        <v>33</v>
      </c>
      <c r="L1088" t="s">
        <v>18</v>
      </c>
      <c r="M1088" t="s">
        <v>19</v>
      </c>
    </row>
    <row r="1089" spans="1:13">
      <c r="A1089" s="4" t="s">
        <v>1244</v>
      </c>
      <c r="B1089" t="s">
        <v>918</v>
      </c>
      <c r="C1089" s="2">
        <v>46006</v>
      </c>
      <c r="D1089" s="4" t="s">
        <v>48</v>
      </c>
      <c r="E1089" s="4" t="s">
        <v>49</v>
      </c>
      <c r="F1089" s="6">
        <v>8</v>
      </c>
      <c r="G1089" s="6">
        <v>100000</v>
      </c>
      <c r="H1089" s="6">
        <v>800000</v>
      </c>
      <c r="I1089" s="6">
        <v>58193.5</v>
      </c>
      <c r="J1089" s="6">
        <v>334452</v>
      </c>
      <c r="K1089" t="s">
        <v>17</v>
      </c>
      <c r="L1089" t="s">
        <v>29</v>
      </c>
      <c r="M1089" t="s">
        <v>38</v>
      </c>
    </row>
    <row r="1090" spans="1:13">
      <c r="A1090" s="4" t="s">
        <v>1245</v>
      </c>
      <c r="B1090" t="s">
        <v>62</v>
      </c>
      <c r="C1090" s="2">
        <v>45698</v>
      </c>
      <c r="D1090" s="4" t="s">
        <v>70</v>
      </c>
      <c r="E1090" s="4" t="s">
        <v>16</v>
      </c>
      <c r="F1090" s="6">
        <v>6</v>
      </c>
      <c r="G1090" s="6">
        <v>22000</v>
      </c>
      <c r="H1090" s="6">
        <v>132000</v>
      </c>
      <c r="I1090" s="6">
        <v>15183.51</v>
      </c>
      <c r="J1090" s="6">
        <v>40898.94</v>
      </c>
      <c r="K1090" t="s">
        <v>71</v>
      </c>
      <c r="L1090" t="s">
        <v>29</v>
      </c>
      <c r="M1090" t="s">
        <v>38</v>
      </c>
    </row>
    <row r="1091" spans="1:13">
      <c r="A1091" s="4" t="s">
        <v>1246</v>
      </c>
      <c r="B1091" t="s">
        <v>193</v>
      </c>
      <c r="C1091" s="2">
        <v>45799</v>
      </c>
      <c r="D1091" s="4" t="s">
        <v>22</v>
      </c>
      <c r="E1091" s="4" t="s">
        <v>23</v>
      </c>
      <c r="F1091" s="6">
        <v>11</v>
      </c>
      <c r="G1091" s="6">
        <v>210000</v>
      </c>
      <c r="H1091" s="6">
        <v>2310000</v>
      </c>
      <c r="I1091" s="6">
        <v>159850.57999999999</v>
      </c>
      <c r="J1091" s="6">
        <v>551643.62</v>
      </c>
      <c r="K1091" t="s">
        <v>33</v>
      </c>
      <c r="L1091" t="s">
        <v>18</v>
      </c>
      <c r="M1091" t="s">
        <v>30</v>
      </c>
    </row>
    <row r="1092" spans="1:13">
      <c r="A1092" s="4" t="s">
        <v>1247</v>
      </c>
      <c r="B1092" t="s">
        <v>292</v>
      </c>
      <c r="C1092" s="2">
        <v>45718</v>
      </c>
      <c r="D1092" s="4" t="s">
        <v>66</v>
      </c>
      <c r="E1092" s="4" t="s">
        <v>49</v>
      </c>
      <c r="F1092" s="6">
        <v>5</v>
      </c>
      <c r="G1092" s="6">
        <v>90000</v>
      </c>
      <c r="H1092" s="6">
        <v>450000</v>
      </c>
      <c r="I1092" s="6">
        <v>53630.94</v>
      </c>
      <c r="J1092" s="6">
        <v>181845.3</v>
      </c>
      <c r="K1092" t="s">
        <v>17</v>
      </c>
      <c r="L1092" t="s">
        <v>53</v>
      </c>
      <c r="M1092" t="s">
        <v>34</v>
      </c>
    </row>
    <row r="1093" spans="1:13">
      <c r="A1093" s="4" t="s">
        <v>1248</v>
      </c>
      <c r="B1093" t="s">
        <v>231</v>
      </c>
      <c r="C1093" s="2">
        <v>45666</v>
      </c>
      <c r="D1093" s="4" t="s">
        <v>66</v>
      </c>
      <c r="E1093" s="4" t="s">
        <v>49</v>
      </c>
      <c r="F1093" s="6">
        <v>1</v>
      </c>
      <c r="G1093" s="6">
        <v>120000</v>
      </c>
      <c r="H1093" s="6">
        <v>120000</v>
      </c>
      <c r="I1093" s="6">
        <v>71214.37</v>
      </c>
      <c r="J1093" s="6">
        <v>48785.63</v>
      </c>
      <c r="K1093" t="s">
        <v>17</v>
      </c>
      <c r="L1093" t="s">
        <v>29</v>
      </c>
      <c r="M1093" t="s">
        <v>67</v>
      </c>
    </row>
    <row r="1094" spans="1:13">
      <c r="A1094" s="4" t="s">
        <v>1249</v>
      </c>
      <c r="B1094" t="s">
        <v>222</v>
      </c>
      <c r="C1094" s="2">
        <v>45724</v>
      </c>
      <c r="D1094" s="4" t="s">
        <v>15</v>
      </c>
      <c r="E1094" s="4" t="s">
        <v>16</v>
      </c>
      <c r="F1094" s="6">
        <v>9</v>
      </c>
      <c r="G1094" s="6">
        <v>10000</v>
      </c>
      <c r="H1094" s="6">
        <v>90000</v>
      </c>
      <c r="I1094" s="6">
        <v>7716.43</v>
      </c>
      <c r="J1094" s="6">
        <v>20552.13</v>
      </c>
      <c r="K1094" t="s">
        <v>17</v>
      </c>
      <c r="L1094" t="s">
        <v>53</v>
      </c>
      <c r="M1094" t="s">
        <v>67</v>
      </c>
    </row>
    <row r="1095" spans="1:13">
      <c r="A1095" s="4" t="s">
        <v>1250</v>
      </c>
      <c r="B1095" t="s">
        <v>129</v>
      </c>
      <c r="C1095" s="2">
        <v>45762</v>
      </c>
      <c r="D1095" s="4" t="s">
        <v>28</v>
      </c>
      <c r="E1095" s="4" t="s">
        <v>23</v>
      </c>
      <c r="F1095" s="6">
        <v>5</v>
      </c>
      <c r="G1095" s="6">
        <v>180000</v>
      </c>
      <c r="H1095" s="6">
        <v>900000</v>
      </c>
      <c r="I1095" s="6">
        <v>140470</v>
      </c>
      <c r="J1095" s="6">
        <v>197650</v>
      </c>
      <c r="K1095" t="s">
        <v>33</v>
      </c>
      <c r="L1095" t="s">
        <v>29</v>
      </c>
      <c r="M1095" t="s">
        <v>25</v>
      </c>
    </row>
    <row r="1096" spans="1:13">
      <c r="A1096" s="4" t="s">
        <v>1251</v>
      </c>
      <c r="B1096" t="s">
        <v>96</v>
      </c>
      <c r="C1096" s="2">
        <v>45935</v>
      </c>
      <c r="D1096" s="4" t="s">
        <v>63</v>
      </c>
      <c r="E1096" s="4" t="s">
        <v>16</v>
      </c>
      <c r="F1096" s="6">
        <v>7</v>
      </c>
      <c r="G1096" s="6">
        <v>7000</v>
      </c>
      <c r="H1096" s="6">
        <v>49000</v>
      </c>
      <c r="I1096" s="6">
        <v>4442.22</v>
      </c>
      <c r="J1096" s="6">
        <v>17904.46</v>
      </c>
      <c r="K1096" t="s">
        <v>80</v>
      </c>
      <c r="L1096" t="s">
        <v>18</v>
      </c>
      <c r="M1096" t="s">
        <v>30</v>
      </c>
    </row>
    <row r="1097" spans="1:13">
      <c r="A1097" s="4" t="s">
        <v>1252</v>
      </c>
      <c r="B1097" t="s">
        <v>234</v>
      </c>
      <c r="C1097" s="2">
        <v>45987</v>
      </c>
      <c r="D1097" s="4" t="s">
        <v>28</v>
      </c>
      <c r="E1097" s="4" t="s">
        <v>23</v>
      </c>
      <c r="F1097" s="6">
        <v>9</v>
      </c>
      <c r="G1097" s="6">
        <v>180000</v>
      </c>
      <c r="H1097" s="6">
        <v>1620000</v>
      </c>
      <c r="I1097" s="6">
        <v>112712.83</v>
      </c>
      <c r="J1097" s="6">
        <v>605584.53</v>
      </c>
      <c r="K1097" t="s">
        <v>33</v>
      </c>
      <c r="L1097" t="s">
        <v>18</v>
      </c>
      <c r="M1097" t="s">
        <v>34</v>
      </c>
    </row>
    <row r="1098" spans="1:13">
      <c r="A1098" s="4" t="s">
        <v>1253</v>
      </c>
      <c r="B1098" t="s">
        <v>234</v>
      </c>
      <c r="C1098" s="2">
        <v>45668</v>
      </c>
      <c r="D1098" s="4" t="s">
        <v>70</v>
      </c>
      <c r="E1098" s="4" t="s">
        <v>16</v>
      </c>
      <c r="F1098" s="6">
        <v>6</v>
      </c>
      <c r="G1098" s="6">
        <v>15000</v>
      </c>
      <c r="H1098" s="6">
        <v>90000</v>
      </c>
      <c r="I1098" s="6">
        <v>11584.76</v>
      </c>
      <c r="J1098" s="6">
        <f>H1098 - (F1098 * I1098)</f>
        <v>20491.440000000002</v>
      </c>
      <c r="K1098" t="s">
        <v>80</v>
      </c>
      <c r="L1098" t="s">
        <v>18</v>
      </c>
      <c r="M1098" t="s">
        <v>19</v>
      </c>
    </row>
    <row r="1099" spans="1:13">
      <c r="A1099" s="4" t="s">
        <v>1254</v>
      </c>
      <c r="B1099" t="s">
        <v>42</v>
      </c>
      <c r="C1099" s="2">
        <v>45862</v>
      </c>
      <c r="D1099" s="4" t="s">
        <v>63</v>
      </c>
      <c r="E1099" s="4" t="s">
        <v>16</v>
      </c>
      <c r="F1099" s="6">
        <v>3</v>
      </c>
      <c r="G1099" s="6">
        <v>5000</v>
      </c>
      <c r="H1099" s="6">
        <v>15000</v>
      </c>
      <c r="I1099" s="6">
        <v>3517.98</v>
      </c>
      <c r="J1099" s="6">
        <v>4446.0600000000004</v>
      </c>
      <c r="K1099" t="s">
        <v>24</v>
      </c>
      <c r="L1099" t="s">
        <v>53</v>
      </c>
      <c r="M1099" t="s">
        <v>30</v>
      </c>
    </row>
    <row r="1100" spans="1:13">
      <c r="A1100" s="4" t="s">
        <v>1255</v>
      </c>
      <c r="B1100" t="s">
        <v>321</v>
      </c>
      <c r="C1100" s="2">
        <v>45785</v>
      </c>
      <c r="D1100" s="4" t="s">
        <v>28</v>
      </c>
      <c r="E1100" s="4" t="s">
        <v>23</v>
      </c>
      <c r="F1100" s="6">
        <v>4</v>
      </c>
      <c r="G1100" s="6">
        <v>180000</v>
      </c>
      <c r="H1100" s="6">
        <v>720000</v>
      </c>
      <c r="I1100" s="6">
        <v>118622.5</v>
      </c>
      <c r="J1100" s="6">
        <v>245510</v>
      </c>
      <c r="K1100" t="s">
        <v>17</v>
      </c>
      <c r="L1100" t="s">
        <v>53</v>
      </c>
      <c r="M1100" t="s">
        <v>30</v>
      </c>
    </row>
    <row r="1101" spans="1:13">
      <c r="A1101" s="4" t="s">
        <v>1256</v>
      </c>
      <c r="B1101" t="s">
        <v>365</v>
      </c>
      <c r="C1101" s="2">
        <v>45926</v>
      </c>
      <c r="D1101" s="4" t="s">
        <v>48</v>
      </c>
      <c r="E1101" s="4" t="s">
        <v>49</v>
      </c>
      <c r="F1101" s="6">
        <v>8</v>
      </c>
      <c r="G1101" s="6">
        <v>100000</v>
      </c>
      <c r="H1101" s="6">
        <v>800000</v>
      </c>
      <c r="I1101" s="6">
        <v>78425.429999999993</v>
      </c>
      <c r="J1101" s="6">
        <v>172596.56</v>
      </c>
      <c r="K1101" t="s">
        <v>24</v>
      </c>
      <c r="L1101" t="s">
        <v>53</v>
      </c>
      <c r="M1101" t="s">
        <v>34</v>
      </c>
    </row>
    <row r="1102" spans="1:13">
      <c r="A1102" s="4" t="s">
        <v>1257</v>
      </c>
      <c r="B1102" t="s">
        <v>308</v>
      </c>
      <c r="C1102" s="2">
        <v>45708</v>
      </c>
      <c r="D1102" s="4" t="s">
        <v>22</v>
      </c>
      <c r="E1102" s="4" t="s">
        <v>23</v>
      </c>
      <c r="F1102" s="6">
        <v>4</v>
      </c>
      <c r="G1102" s="6">
        <v>280000</v>
      </c>
      <c r="H1102" s="6">
        <v>1120000</v>
      </c>
      <c r="I1102" s="6">
        <v>176580.89</v>
      </c>
      <c r="J1102" s="6">
        <v>413676.44</v>
      </c>
      <c r="K1102" t="s">
        <v>17</v>
      </c>
      <c r="L1102" t="s">
        <v>53</v>
      </c>
      <c r="M1102" t="s">
        <v>50</v>
      </c>
    </row>
    <row r="1103" spans="1:13">
      <c r="A1103" s="4" t="s">
        <v>1258</v>
      </c>
      <c r="B1103" t="s">
        <v>105</v>
      </c>
      <c r="C1103" s="2">
        <v>45859</v>
      </c>
      <c r="D1103" s="4" t="s">
        <v>52</v>
      </c>
      <c r="E1103" s="4" t="s">
        <v>23</v>
      </c>
      <c r="F1103" s="6">
        <v>8</v>
      </c>
      <c r="G1103" s="6">
        <v>45000</v>
      </c>
      <c r="H1103" s="6">
        <v>360000</v>
      </c>
      <c r="I1103" s="6">
        <v>32336.2</v>
      </c>
      <c r="J1103" s="6">
        <v>101310.39999999999</v>
      </c>
      <c r="K1103" t="s">
        <v>80</v>
      </c>
      <c r="L1103" t="s">
        <v>29</v>
      </c>
      <c r="M1103" t="s">
        <v>30</v>
      </c>
    </row>
    <row r="1104" spans="1:13">
      <c r="A1104" s="4" t="s">
        <v>1259</v>
      </c>
      <c r="B1104" t="s">
        <v>234</v>
      </c>
      <c r="C1104" s="2">
        <v>45968</v>
      </c>
      <c r="D1104" s="4" t="s">
        <v>1179</v>
      </c>
      <c r="E1104" s="4" t="s">
        <v>16</v>
      </c>
      <c r="F1104" s="6">
        <v>6</v>
      </c>
      <c r="G1104" s="6">
        <v>12000</v>
      </c>
      <c r="H1104" s="6">
        <v>72000</v>
      </c>
      <c r="I1104" s="6">
        <v>8793.4599999999991</v>
      </c>
      <c r="J1104" s="6">
        <v>19239.240000000002</v>
      </c>
      <c r="K1104" t="s">
        <v>24</v>
      </c>
      <c r="L1104" t="s">
        <v>18</v>
      </c>
      <c r="M1104" t="s">
        <v>34</v>
      </c>
    </row>
    <row r="1105" spans="1:13">
      <c r="A1105" s="4" t="s">
        <v>1260</v>
      </c>
      <c r="B1105" t="s">
        <v>154</v>
      </c>
      <c r="C1105" s="2">
        <v>45712</v>
      </c>
      <c r="D1105" s="4" t="s">
        <v>15</v>
      </c>
      <c r="E1105" s="4" t="s">
        <v>16</v>
      </c>
      <c r="F1105" s="6">
        <v>3</v>
      </c>
      <c r="G1105" s="6">
        <v>8000</v>
      </c>
      <c r="H1105" s="6">
        <v>24000</v>
      </c>
      <c r="I1105" s="6">
        <v>6502.25</v>
      </c>
      <c r="J1105" s="6">
        <v>4493.25</v>
      </c>
      <c r="K1105" t="s">
        <v>80</v>
      </c>
      <c r="L1105" t="s">
        <v>29</v>
      </c>
      <c r="M1105" t="s">
        <v>34</v>
      </c>
    </row>
    <row r="1106" spans="1:13">
      <c r="A1106" s="4" t="s">
        <v>1261</v>
      </c>
      <c r="B1106" t="s">
        <v>224</v>
      </c>
      <c r="C1106" s="2">
        <v>46012</v>
      </c>
      <c r="D1106" s="4" t="s">
        <v>22</v>
      </c>
      <c r="E1106" s="4" t="s">
        <v>23</v>
      </c>
      <c r="F1106" s="6">
        <v>7</v>
      </c>
      <c r="G1106" s="6">
        <v>280000</v>
      </c>
      <c r="H1106" s="6">
        <v>1960000</v>
      </c>
      <c r="I1106" s="6">
        <v>167797.19</v>
      </c>
      <c r="J1106" s="6">
        <v>785419.67</v>
      </c>
      <c r="K1106" t="s">
        <v>33</v>
      </c>
      <c r="L1106" t="s">
        <v>29</v>
      </c>
      <c r="M1106" t="s">
        <v>19</v>
      </c>
    </row>
    <row r="1107" spans="1:13">
      <c r="A1107" s="4" t="s">
        <v>1262</v>
      </c>
      <c r="B1107" t="s">
        <v>111</v>
      </c>
      <c r="C1107" s="2">
        <v>45860</v>
      </c>
      <c r="D1107" s="4" t="s">
        <v>66</v>
      </c>
      <c r="E1107" s="4" t="s">
        <v>49</v>
      </c>
      <c r="F1107" s="6">
        <v>11</v>
      </c>
      <c r="G1107" s="6">
        <v>120000</v>
      </c>
      <c r="H1107" s="6">
        <v>1320000</v>
      </c>
      <c r="I1107" s="6">
        <v>73714.7</v>
      </c>
      <c r="J1107" s="6">
        <v>509138.3</v>
      </c>
      <c r="K1107" t="s">
        <v>71</v>
      </c>
      <c r="L1107" t="s">
        <v>18</v>
      </c>
      <c r="M1107" t="s">
        <v>25</v>
      </c>
    </row>
    <row r="1108" spans="1:13">
      <c r="A1108" s="4" t="s">
        <v>1263</v>
      </c>
      <c r="B1108" t="s">
        <v>245</v>
      </c>
      <c r="C1108" s="2">
        <v>45978</v>
      </c>
      <c r="D1108" s="4" t="s">
        <v>63</v>
      </c>
      <c r="E1108" s="4" t="s">
        <v>16</v>
      </c>
      <c r="F1108" s="6">
        <v>8</v>
      </c>
      <c r="G1108" s="6">
        <v>7000</v>
      </c>
      <c r="H1108" s="6">
        <v>56000</v>
      </c>
      <c r="I1108" s="6">
        <v>5124.12</v>
      </c>
      <c r="J1108" s="6">
        <v>15007.04</v>
      </c>
      <c r="K1108" t="s">
        <v>17</v>
      </c>
      <c r="L1108" t="s">
        <v>29</v>
      </c>
      <c r="M1108" t="s">
        <v>38</v>
      </c>
    </row>
    <row r="1109" spans="1:13">
      <c r="A1109" s="4" t="s">
        <v>1264</v>
      </c>
      <c r="B1109" t="s">
        <v>121</v>
      </c>
      <c r="C1109" s="2">
        <v>45690</v>
      </c>
      <c r="D1109" s="4" t="s">
        <v>56</v>
      </c>
      <c r="E1109" s="4" t="s">
        <v>23</v>
      </c>
      <c r="F1109" s="6">
        <v>10</v>
      </c>
      <c r="G1109" s="6">
        <v>30000</v>
      </c>
      <c r="H1109" s="6">
        <v>300000</v>
      </c>
      <c r="I1109" s="6">
        <v>23156.42</v>
      </c>
      <c r="J1109" s="6">
        <v>68435.8</v>
      </c>
      <c r="K1109" t="s">
        <v>71</v>
      </c>
      <c r="L1109" t="s">
        <v>29</v>
      </c>
      <c r="M1109" t="s">
        <v>19</v>
      </c>
    </row>
    <row r="1110" spans="1:13">
      <c r="A1110" s="4" t="s">
        <v>1265</v>
      </c>
      <c r="B1110" t="s">
        <v>208</v>
      </c>
      <c r="C1110" s="2">
        <v>45974</v>
      </c>
      <c r="D1110" s="4" t="s">
        <v>37</v>
      </c>
      <c r="E1110" s="4" t="s">
        <v>16</v>
      </c>
      <c r="F1110" s="6">
        <v>6</v>
      </c>
      <c r="G1110" s="6">
        <v>12000</v>
      </c>
      <c r="H1110" s="6">
        <v>72000</v>
      </c>
      <c r="I1110" s="6">
        <v>9203.34</v>
      </c>
      <c r="J1110" s="6">
        <v>16779.96</v>
      </c>
      <c r="K1110" t="s">
        <v>17</v>
      </c>
      <c r="L1110" t="s">
        <v>18</v>
      </c>
      <c r="M1110" t="s">
        <v>38</v>
      </c>
    </row>
    <row r="1111" spans="1:13">
      <c r="A1111" s="4" t="s">
        <v>1266</v>
      </c>
      <c r="B1111" t="s">
        <v>42</v>
      </c>
      <c r="C1111" s="2">
        <v>45949</v>
      </c>
      <c r="D1111" s="4" t="s">
        <v>106</v>
      </c>
      <c r="E1111" s="4" t="s">
        <v>23</v>
      </c>
      <c r="F1111" s="6">
        <v>7</v>
      </c>
      <c r="G1111" s="6">
        <v>120000</v>
      </c>
      <c r="H1111" s="6">
        <v>840000</v>
      </c>
      <c r="I1111" s="6">
        <v>79214.880000000005</v>
      </c>
      <c r="J1111" s="6">
        <v>285495.84000000003</v>
      </c>
      <c r="K1111" t="s">
        <v>80</v>
      </c>
      <c r="L1111" t="s">
        <v>29</v>
      </c>
      <c r="M1111" t="s">
        <v>34</v>
      </c>
    </row>
    <row r="1112" spans="1:13">
      <c r="A1112" s="4" t="s">
        <v>1267</v>
      </c>
      <c r="B1112" t="s">
        <v>32</v>
      </c>
      <c r="C1112" s="2">
        <v>45810</v>
      </c>
      <c r="D1112" s="4" t="s">
        <v>22</v>
      </c>
      <c r="E1112" s="4" t="s">
        <v>23</v>
      </c>
      <c r="F1112" s="6">
        <v>6</v>
      </c>
      <c r="G1112" s="6">
        <v>150000</v>
      </c>
      <c r="H1112" s="6">
        <v>900000</v>
      </c>
      <c r="I1112" s="6">
        <v>88765.13</v>
      </c>
      <c r="J1112" s="6">
        <v>367409.22</v>
      </c>
      <c r="K1112" t="s">
        <v>71</v>
      </c>
      <c r="L1112" t="s">
        <v>53</v>
      </c>
      <c r="M1112" t="s">
        <v>38</v>
      </c>
    </row>
    <row r="1113" spans="1:13">
      <c r="A1113" s="4" t="s">
        <v>1268</v>
      </c>
      <c r="B1113" t="s">
        <v>88</v>
      </c>
      <c r="C1113" s="2">
        <v>45929</v>
      </c>
      <c r="D1113" s="4" t="s">
        <v>66</v>
      </c>
      <c r="E1113" s="4" t="s">
        <v>49</v>
      </c>
      <c r="F1113" s="6">
        <v>6</v>
      </c>
      <c r="G1113" s="6">
        <v>175000</v>
      </c>
      <c r="H1113" s="6">
        <v>1050000</v>
      </c>
      <c r="I1113" s="6">
        <v>143483.44</v>
      </c>
      <c r="J1113" s="6">
        <v>189099.36</v>
      </c>
      <c r="K1113" t="s">
        <v>17</v>
      </c>
      <c r="L1113" t="s">
        <v>53</v>
      </c>
      <c r="M1113" t="s">
        <v>38</v>
      </c>
    </row>
    <row r="1114" spans="1:13">
      <c r="A1114" s="4" t="s">
        <v>1269</v>
      </c>
      <c r="B1114" t="s">
        <v>450</v>
      </c>
      <c r="C1114" s="2">
        <v>45945</v>
      </c>
      <c r="D1114" s="4" t="s">
        <v>63</v>
      </c>
      <c r="E1114" s="4" t="s">
        <v>16</v>
      </c>
      <c r="F1114" s="6">
        <v>11</v>
      </c>
      <c r="G1114" s="6">
        <v>7000</v>
      </c>
      <c r="H1114" s="6">
        <v>77000</v>
      </c>
      <c r="I1114" s="6">
        <v>5083.2</v>
      </c>
      <c r="J1114" s="6">
        <v>21084.799999999999</v>
      </c>
      <c r="K1114" t="s">
        <v>17</v>
      </c>
      <c r="L1114" t="s">
        <v>29</v>
      </c>
      <c r="M1114" t="s">
        <v>67</v>
      </c>
    </row>
    <row r="1115" spans="1:13">
      <c r="A1115" s="4" t="s">
        <v>1270</v>
      </c>
      <c r="B1115" t="s">
        <v>250</v>
      </c>
      <c r="C1115" s="2">
        <v>45989</v>
      </c>
      <c r="D1115" s="4" t="s">
        <v>37</v>
      </c>
      <c r="E1115" s="4" t="s">
        <v>16</v>
      </c>
      <c r="F1115" s="6">
        <v>3</v>
      </c>
      <c r="G1115" s="6">
        <v>18000</v>
      </c>
      <c r="H1115" s="6">
        <v>54000</v>
      </c>
      <c r="I1115" s="6">
        <v>14011.05</v>
      </c>
      <c r="J1115" s="6">
        <v>11966.85</v>
      </c>
      <c r="K1115" t="s">
        <v>17</v>
      </c>
      <c r="L1115" t="s">
        <v>53</v>
      </c>
      <c r="M1115" t="s">
        <v>34</v>
      </c>
    </row>
    <row r="1116" spans="1:13">
      <c r="A1116" s="4" t="s">
        <v>1271</v>
      </c>
      <c r="B1116" t="s">
        <v>335</v>
      </c>
      <c r="C1116" s="2">
        <v>45923</v>
      </c>
      <c r="D1116" s="4" t="s">
        <v>48</v>
      </c>
      <c r="E1116" s="4" t="s">
        <v>49</v>
      </c>
      <c r="F1116" s="6">
        <v>7</v>
      </c>
      <c r="G1116" s="6">
        <v>140000</v>
      </c>
      <c r="H1116" s="6">
        <v>980000</v>
      </c>
      <c r="I1116" s="6">
        <v>100832.61</v>
      </c>
      <c r="J1116" s="6">
        <v>274171.73</v>
      </c>
      <c r="K1116" t="s">
        <v>80</v>
      </c>
      <c r="L1116" t="s">
        <v>29</v>
      </c>
      <c r="M1116" t="s">
        <v>38</v>
      </c>
    </row>
    <row r="1117" spans="1:13">
      <c r="A1117" s="4" t="s">
        <v>1272</v>
      </c>
      <c r="B1117" t="s">
        <v>77</v>
      </c>
      <c r="C1117" s="2">
        <v>45747</v>
      </c>
      <c r="D1117" s="4" t="s">
        <v>349</v>
      </c>
      <c r="E1117" s="4" t="s">
        <v>23</v>
      </c>
      <c r="F1117" s="6">
        <v>2</v>
      </c>
      <c r="G1117" s="6">
        <v>45000</v>
      </c>
      <c r="H1117" s="6">
        <v>90000</v>
      </c>
      <c r="I1117" s="6">
        <v>33745.33</v>
      </c>
      <c r="J1117" s="6">
        <v>22509.34</v>
      </c>
      <c r="K1117" t="s">
        <v>24</v>
      </c>
      <c r="L1117" t="s">
        <v>53</v>
      </c>
      <c r="M1117" t="s">
        <v>30</v>
      </c>
    </row>
    <row r="1118" spans="1:13">
      <c r="A1118" s="4" t="s">
        <v>1273</v>
      </c>
      <c r="B1118" t="s">
        <v>90</v>
      </c>
      <c r="C1118" s="2" t="s">
        <v>355</v>
      </c>
      <c r="D1118" s="4" t="s">
        <v>66</v>
      </c>
      <c r="E1118" s="4" t="s">
        <v>49</v>
      </c>
      <c r="F1118" s="6">
        <v>5</v>
      </c>
      <c r="G1118" s="6">
        <v>175000</v>
      </c>
      <c r="H1118" s="6">
        <v>875000</v>
      </c>
      <c r="I1118" s="6">
        <v>119004.45</v>
      </c>
      <c r="J1118" s="6">
        <v>279977.75</v>
      </c>
      <c r="K1118" t="s">
        <v>17</v>
      </c>
      <c r="L1118" t="s">
        <v>53</v>
      </c>
      <c r="M1118" t="s">
        <v>30</v>
      </c>
    </row>
    <row r="1119" spans="1:13">
      <c r="A1119" s="4" t="s">
        <v>1274</v>
      </c>
      <c r="B1119" t="s">
        <v>44</v>
      </c>
      <c r="C1119" s="2">
        <v>45665</v>
      </c>
      <c r="D1119" s="4" t="s">
        <v>63</v>
      </c>
      <c r="E1119" s="4" t="s">
        <v>16</v>
      </c>
      <c r="F1119" s="6">
        <v>3</v>
      </c>
      <c r="G1119" s="6">
        <v>5000</v>
      </c>
      <c r="H1119" s="6">
        <v>15000</v>
      </c>
      <c r="I1119" s="6">
        <v>3601.64</v>
      </c>
      <c r="J1119" s="6">
        <v>4195.08</v>
      </c>
      <c r="K1119" t="s">
        <v>71</v>
      </c>
      <c r="L1119" t="s">
        <v>53</v>
      </c>
      <c r="M1119" t="s">
        <v>67</v>
      </c>
    </row>
    <row r="1120" spans="1:13">
      <c r="A1120" s="4" t="s">
        <v>1275</v>
      </c>
      <c r="B1120" t="s">
        <v>94</v>
      </c>
      <c r="C1120" s="2">
        <v>45996</v>
      </c>
      <c r="D1120" s="4" t="s">
        <v>37</v>
      </c>
      <c r="E1120" s="4" t="s">
        <v>16</v>
      </c>
      <c r="F1120" s="6">
        <v>5</v>
      </c>
      <c r="G1120" s="6">
        <v>25000</v>
      </c>
      <c r="H1120" s="6">
        <v>125000</v>
      </c>
      <c r="I1120" s="6">
        <v>18704.18</v>
      </c>
      <c r="J1120" s="6">
        <v>31479.1</v>
      </c>
      <c r="K1120" t="s">
        <v>71</v>
      </c>
      <c r="L1120" t="s">
        <v>53</v>
      </c>
      <c r="M1120" t="s">
        <v>30</v>
      </c>
    </row>
    <row r="1121" spans="1:13">
      <c r="A1121" s="4" t="s">
        <v>1276</v>
      </c>
      <c r="B1121" t="s">
        <v>62</v>
      </c>
      <c r="C1121" s="2">
        <v>45829</v>
      </c>
      <c r="D1121" s="4" t="s">
        <v>52</v>
      </c>
      <c r="E1121" s="4" t="s">
        <v>23</v>
      </c>
      <c r="F1121" s="6">
        <v>8</v>
      </c>
      <c r="G1121" s="6">
        <v>45000</v>
      </c>
      <c r="H1121" s="6">
        <v>360000</v>
      </c>
      <c r="I1121" s="6">
        <v>28964.29</v>
      </c>
      <c r="J1121" s="6">
        <v>128285.68</v>
      </c>
      <c r="K1121" t="s">
        <v>17</v>
      </c>
      <c r="L1121" t="s">
        <v>29</v>
      </c>
      <c r="M1121" t="s">
        <v>19</v>
      </c>
    </row>
    <row r="1122" spans="1:13">
      <c r="A1122" s="4" t="s">
        <v>1277</v>
      </c>
      <c r="B1122" t="s">
        <v>261</v>
      </c>
      <c r="C1122" s="2">
        <v>45723</v>
      </c>
      <c r="D1122" s="4" t="s">
        <v>70</v>
      </c>
      <c r="E1122" s="4" t="s">
        <v>16</v>
      </c>
      <c r="F1122" s="6">
        <v>1</v>
      </c>
      <c r="G1122" s="6">
        <v>22000</v>
      </c>
      <c r="H1122" s="6">
        <v>22000</v>
      </c>
      <c r="I1122" s="6">
        <v>14685.36</v>
      </c>
      <c r="J1122" s="6">
        <v>7314.64</v>
      </c>
      <c r="K1122" t="s">
        <v>24</v>
      </c>
      <c r="L1122" t="s">
        <v>53</v>
      </c>
      <c r="M1122" t="s">
        <v>38</v>
      </c>
    </row>
    <row r="1123" spans="1:13">
      <c r="A1123" s="4" t="s">
        <v>1278</v>
      </c>
      <c r="B1123" t="s">
        <v>499</v>
      </c>
      <c r="C1123" s="2">
        <v>45763</v>
      </c>
      <c r="D1123" s="4" t="s">
        <v>28</v>
      </c>
      <c r="E1123" s="4" t="s">
        <v>23</v>
      </c>
      <c r="F1123" s="6">
        <v>9</v>
      </c>
      <c r="G1123" s="6">
        <v>300000</v>
      </c>
      <c r="H1123" s="6">
        <v>2700000</v>
      </c>
      <c r="I1123" s="6">
        <v>237261.88</v>
      </c>
      <c r="J1123" s="6">
        <v>564643.07999999996</v>
      </c>
      <c r="K1123" t="s">
        <v>80</v>
      </c>
      <c r="L1123" t="s">
        <v>18</v>
      </c>
      <c r="M1123" t="s">
        <v>34</v>
      </c>
    </row>
    <row r="1124" spans="1:13">
      <c r="A1124" s="4" t="s">
        <v>1279</v>
      </c>
      <c r="B1124" t="s">
        <v>359</v>
      </c>
      <c r="C1124" s="2">
        <v>45777</v>
      </c>
      <c r="D1124" s="4" t="s">
        <v>48</v>
      </c>
      <c r="E1124" s="4" t="s">
        <v>49</v>
      </c>
      <c r="F1124" s="6">
        <v>7</v>
      </c>
      <c r="G1124" s="6">
        <v>200000</v>
      </c>
      <c r="H1124" s="6">
        <v>1400000</v>
      </c>
      <c r="I1124" s="6">
        <v>149869.17000000001</v>
      </c>
      <c r="J1124" s="6">
        <v>350915.81</v>
      </c>
      <c r="K1124" t="s">
        <v>24</v>
      </c>
      <c r="L1124" t="s">
        <v>53</v>
      </c>
      <c r="M1124" t="s">
        <v>25</v>
      </c>
    </row>
    <row r="1125" spans="1:13">
      <c r="A1125" s="4" t="s">
        <v>1280</v>
      </c>
      <c r="B1125" t="s">
        <v>109</v>
      </c>
      <c r="C1125" s="2">
        <v>45885</v>
      </c>
      <c r="D1125" s="4" t="s">
        <v>56</v>
      </c>
      <c r="E1125" s="4" t="s">
        <v>23</v>
      </c>
      <c r="F1125" s="6">
        <v>8</v>
      </c>
      <c r="G1125" s="6">
        <v>45000</v>
      </c>
      <c r="H1125" s="6">
        <v>360000</v>
      </c>
      <c r="I1125" s="6">
        <v>26311.98</v>
      </c>
      <c r="J1125" s="6">
        <v>149504.16</v>
      </c>
      <c r="K1125" t="s">
        <v>33</v>
      </c>
      <c r="L1125" t="s">
        <v>53</v>
      </c>
      <c r="M1125" t="s">
        <v>50</v>
      </c>
    </row>
    <row r="1126" spans="1:13">
      <c r="A1126" s="4" t="s">
        <v>1281</v>
      </c>
      <c r="B1126" t="s">
        <v>62</v>
      </c>
      <c r="C1126" s="2">
        <v>45693</v>
      </c>
      <c r="D1126" s="4" t="s">
        <v>52</v>
      </c>
      <c r="E1126" s="4" t="s">
        <v>23</v>
      </c>
      <c r="F1126" s="6">
        <v>11</v>
      </c>
      <c r="G1126" s="6">
        <v>45000</v>
      </c>
      <c r="H1126" s="6">
        <v>495000</v>
      </c>
      <c r="I1126" s="6">
        <v>34245.72</v>
      </c>
      <c r="J1126" s="6">
        <v>118297.08</v>
      </c>
      <c r="K1126" t="s">
        <v>71</v>
      </c>
      <c r="L1126" t="s">
        <v>53</v>
      </c>
      <c r="M1126" t="s">
        <v>25</v>
      </c>
    </row>
    <row r="1127" spans="1:13">
      <c r="A1127" s="4" t="s">
        <v>1282</v>
      </c>
      <c r="B1127" t="s">
        <v>250</v>
      </c>
      <c r="C1127" s="2">
        <v>45747</v>
      </c>
      <c r="D1127" s="4" t="s">
        <v>106</v>
      </c>
      <c r="E1127" s="4" t="s">
        <v>23</v>
      </c>
      <c r="F1127" s="6">
        <v>7</v>
      </c>
      <c r="G1127" s="6">
        <v>200000</v>
      </c>
      <c r="H1127" s="6">
        <v>1400000</v>
      </c>
      <c r="I1127" s="6">
        <v>121110.32</v>
      </c>
      <c r="J1127" s="6">
        <v>552227.76</v>
      </c>
      <c r="K1127" t="s">
        <v>33</v>
      </c>
      <c r="L1127" t="s">
        <v>29</v>
      </c>
      <c r="M1127" t="s">
        <v>19</v>
      </c>
    </row>
    <row r="1128" spans="1:13">
      <c r="A1128" s="4" t="s">
        <v>1283</v>
      </c>
      <c r="B1128" t="s">
        <v>47</v>
      </c>
      <c r="C1128" s="2">
        <v>45823</v>
      </c>
      <c r="D1128" s="4" t="s">
        <v>52</v>
      </c>
      <c r="E1128" s="4" t="s">
        <v>23</v>
      </c>
      <c r="F1128" s="6">
        <v>12</v>
      </c>
      <c r="G1128" s="6">
        <v>45000</v>
      </c>
      <c r="H1128" s="6">
        <v>540000</v>
      </c>
      <c r="I1128" s="6">
        <v>34316.370000000003</v>
      </c>
      <c r="J1128" s="6">
        <v>128203.56</v>
      </c>
      <c r="K1128" t="s">
        <v>80</v>
      </c>
      <c r="L1128" t="s">
        <v>18</v>
      </c>
      <c r="M1128" t="s">
        <v>25</v>
      </c>
    </row>
    <row r="1129" spans="1:13">
      <c r="A1129" s="4" t="s">
        <v>1284</v>
      </c>
      <c r="B1129" t="s">
        <v>193</v>
      </c>
      <c r="C1129" s="2">
        <v>45872</v>
      </c>
      <c r="D1129" s="4" t="s">
        <v>63</v>
      </c>
      <c r="E1129" s="4" t="s">
        <v>16</v>
      </c>
      <c r="F1129" s="6">
        <v>3</v>
      </c>
      <c r="G1129" s="6">
        <v>5000</v>
      </c>
      <c r="H1129" s="6">
        <v>15000</v>
      </c>
      <c r="I1129" s="6">
        <v>3728.6</v>
      </c>
      <c r="J1129" s="6">
        <v>3814.2</v>
      </c>
      <c r="K1129" t="s">
        <v>33</v>
      </c>
      <c r="L1129" t="s">
        <v>18</v>
      </c>
      <c r="M1129" t="s">
        <v>30</v>
      </c>
    </row>
    <row r="1130" spans="1:13">
      <c r="A1130" s="4" t="s">
        <v>1285</v>
      </c>
      <c r="B1130" t="s">
        <v>161</v>
      </c>
      <c r="C1130" s="2">
        <v>45839</v>
      </c>
      <c r="D1130" s="4" t="s">
        <v>106</v>
      </c>
      <c r="E1130" s="4" t="s">
        <v>23</v>
      </c>
      <c r="F1130" s="6">
        <v>6</v>
      </c>
      <c r="G1130" s="6">
        <v>200000</v>
      </c>
      <c r="H1130" s="6">
        <v>1200000</v>
      </c>
      <c r="I1130" s="6">
        <v>140501.34</v>
      </c>
      <c r="J1130" s="6">
        <v>356991.96</v>
      </c>
      <c r="K1130" t="s">
        <v>80</v>
      </c>
      <c r="L1130" t="s">
        <v>53</v>
      </c>
      <c r="M1130" t="s">
        <v>30</v>
      </c>
    </row>
    <row r="1131" spans="1:13">
      <c r="A1131" s="4" t="s">
        <v>1286</v>
      </c>
      <c r="B1131" t="s">
        <v>234</v>
      </c>
      <c r="C1131" s="2">
        <v>45684</v>
      </c>
      <c r="D1131" s="4" t="s">
        <v>63</v>
      </c>
      <c r="E1131" s="4" t="s">
        <v>16</v>
      </c>
      <c r="F1131" s="6">
        <v>2</v>
      </c>
      <c r="G1131" s="6">
        <v>5000</v>
      </c>
      <c r="H1131" s="6">
        <v>10000</v>
      </c>
      <c r="I1131" s="6">
        <v>3338.71</v>
      </c>
      <c r="J1131" s="6">
        <v>3322.58</v>
      </c>
      <c r="K1131" t="s">
        <v>17</v>
      </c>
      <c r="L1131" t="s">
        <v>29</v>
      </c>
      <c r="M1131" t="s">
        <v>19</v>
      </c>
    </row>
    <row r="1132" spans="1:13">
      <c r="A1132" s="4" t="s">
        <v>1287</v>
      </c>
      <c r="B1132" t="s">
        <v>40</v>
      </c>
      <c r="C1132" s="2">
        <v>45880</v>
      </c>
      <c r="D1132" s="4" t="s">
        <v>52</v>
      </c>
      <c r="E1132" s="4" t="s">
        <v>23</v>
      </c>
      <c r="F1132" s="6">
        <v>4</v>
      </c>
      <c r="G1132" s="6">
        <v>85000</v>
      </c>
      <c r="H1132" s="6">
        <v>340000</v>
      </c>
      <c r="I1132" s="6">
        <v>52316.72</v>
      </c>
      <c r="J1132" s="6">
        <v>130733.12</v>
      </c>
      <c r="K1132" t="s">
        <v>24</v>
      </c>
      <c r="L1132" t="s">
        <v>29</v>
      </c>
      <c r="M1132" t="s">
        <v>38</v>
      </c>
    </row>
    <row r="1133" spans="1:13">
      <c r="A1133" s="4" t="s">
        <v>1288</v>
      </c>
      <c r="B1133" t="s">
        <v>44</v>
      </c>
      <c r="C1133" s="2">
        <v>45723</v>
      </c>
      <c r="D1133" s="4" t="s">
        <v>66</v>
      </c>
      <c r="E1133" s="4" t="s">
        <v>49</v>
      </c>
      <c r="F1133" s="6">
        <v>10</v>
      </c>
      <c r="G1133" s="6">
        <f>Cleaned_Data4[[#This Row],[Sales_Amount]]/Cleaned_Data4[[#This Row],[Quantity]]</f>
        <v>175000</v>
      </c>
      <c r="H1133" s="6">
        <v>1750000</v>
      </c>
      <c r="I1133" s="6">
        <v>102632.59</v>
      </c>
      <c r="J1133" s="6">
        <v>723674.1</v>
      </c>
      <c r="K1133" t="s">
        <v>33</v>
      </c>
      <c r="L1133" t="s">
        <v>18</v>
      </c>
      <c r="M1133" t="s">
        <v>38</v>
      </c>
    </row>
    <row r="1134" spans="1:13">
      <c r="A1134" s="4" t="s">
        <v>1289</v>
      </c>
      <c r="B1134" t="s">
        <v>44</v>
      </c>
      <c r="C1134" s="2">
        <v>45919</v>
      </c>
      <c r="D1134" s="4" t="s">
        <v>28</v>
      </c>
      <c r="E1134" s="4" t="s">
        <v>23</v>
      </c>
      <c r="F1134" s="6">
        <v>4</v>
      </c>
      <c r="G1134" s="6">
        <v>180000</v>
      </c>
      <c r="H1134" s="6">
        <v>720000</v>
      </c>
      <c r="I1134" s="6">
        <v>127572.06</v>
      </c>
      <c r="J1134" s="6">
        <v>209711.76</v>
      </c>
      <c r="K1134" t="s">
        <v>33</v>
      </c>
      <c r="L1134" t="s">
        <v>18</v>
      </c>
      <c r="M1134" t="s">
        <v>34</v>
      </c>
    </row>
    <row r="1135" spans="1:13">
      <c r="A1135" s="4" t="s">
        <v>1290</v>
      </c>
      <c r="B1135" t="s">
        <v>156</v>
      </c>
      <c r="C1135" s="2">
        <v>45874</v>
      </c>
      <c r="D1135" s="4" t="s">
        <v>15</v>
      </c>
      <c r="E1135" s="4" t="s">
        <v>16</v>
      </c>
      <c r="F1135" s="6">
        <v>5</v>
      </c>
      <c r="G1135" s="6">
        <v>12500</v>
      </c>
      <c r="H1135" s="6">
        <v>62500</v>
      </c>
      <c r="I1135" s="6">
        <v>10007.1</v>
      </c>
      <c r="J1135" s="6">
        <v>12464.5</v>
      </c>
      <c r="K1135" t="s">
        <v>33</v>
      </c>
      <c r="L1135" t="s">
        <v>53</v>
      </c>
      <c r="M1135" t="s">
        <v>30</v>
      </c>
    </row>
    <row r="1136" spans="1:13">
      <c r="A1136" s="4" t="s">
        <v>1291</v>
      </c>
      <c r="B1136" t="s">
        <v>321</v>
      </c>
      <c r="C1136" s="2">
        <v>45872</v>
      </c>
      <c r="D1136" s="4" t="s">
        <v>52</v>
      </c>
      <c r="E1136" s="4" t="s">
        <v>23</v>
      </c>
      <c r="F1136" s="6">
        <v>10</v>
      </c>
      <c r="G1136" s="6">
        <v>45000</v>
      </c>
      <c r="H1136" s="6">
        <v>450000</v>
      </c>
      <c r="I1136" s="6">
        <v>28699.200000000001</v>
      </c>
      <c r="J1136" s="6">
        <v>163008</v>
      </c>
      <c r="K1136" t="s">
        <v>17</v>
      </c>
      <c r="L1136" t="s">
        <v>18</v>
      </c>
      <c r="M1136" t="s">
        <v>67</v>
      </c>
    </row>
    <row r="1137" spans="1:13">
      <c r="A1137" s="4" t="s">
        <v>1292</v>
      </c>
      <c r="B1137" t="s">
        <v>250</v>
      </c>
      <c r="C1137" s="2">
        <v>45715</v>
      </c>
      <c r="D1137" s="4" t="s">
        <v>70</v>
      </c>
      <c r="E1137" s="4" t="s">
        <v>16</v>
      </c>
      <c r="F1137" s="6">
        <v>4</v>
      </c>
      <c r="G1137" s="6">
        <v>22000</v>
      </c>
      <c r="H1137" s="6">
        <v>88000</v>
      </c>
      <c r="I1137" s="6">
        <v>16129.07</v>
      </c>
      <c r="J1137" s="6">
        <f>H1137 - (F1137 * I1137)</f>
        <v>23483.72</v>
      </c>
      <c r="K1137" t="s">
        <v>17</v>
      </c>
      <c r="L1137" t="s">
        <v>53</v>
      </c>
      <c r="M1137" t="s">
        <v>19</v>
      </c>
    </row>
    <row r="1138" spans="1:13">
      <c r="A1138" s="4" t="s">
        <v>1293</v>
      </c>
      <c r="B1138" t="s">
        <v>79</v>
      </c>
      <c r="C1138" s="2">
        <v>45841</v>
      </c>
      <c r="D1138" s="4" t="s">
        <v>66</v>
      </c>
      <c r="E1138" s="4" t="s">
        <v>49</v>
      </c>
      <c r="F1138" s="6">
        <v>5</v>
      </c>
      <c r="G1138" s="6">
        <v>120000</v>
      </c>
      <c r="H1138" s="6">
        <v>600000</v>
      </c>
      <c r="I1138" s="6">
        <v>85488.15</v>
      </c>
      <c r="J1138" s="6">
        <v>172559.25</v>
      </c>
      <c r="K1138" t="s">
        <v>33</v>
      </c>
      <c r="L1138" t="s">
        <v>53</v>
      </c>
      <c r="M1138" t="s">
        <v>34</v>
      </c>
    </row>
    <row r="1139" spans="1:13">
      <c r="A1139" s="4" t="s">
        <v>1294</v>
      </c>
      <c r="B1139" t="s">
        <v>165</v>
      </c>
      <c r="C1139" s="2">
        <v>45989</v>
      </c>
      <c r="D1139" s="4" t="s">
        <v>48</v>
      </c>
      <c r="E1139" s="4" t="s">
        <v>49</v>
      </c>
      <c r="F1139" s="6">
        <v>10</v>
      </c>
      <c r="G1139" s="6">
        <v>200000</v>
      </c>
      <c r="H1139" s="6">
        <v>2000000</v>
      </c>
      <c r="I1139" s="6">
        <v>126977.95</v>
      </c>
      <c r="J1139" s="6">
        <v>730220.5</v>
      </c>
      <c r="K1139" t="s">
        <v>80</v>
      </c>
      <c r="L1139" t="s">
        <v>53</v>
      </c>
      <c r="M1139" t="s">
        <v>19</v>
      </c>
    </row>
    <row r="1140" spans="1:13">
      <c r="A1140" s="4" t="s">
        <v>1295</v>
      </c>
      <c r="B1140" t="s">
        <v>499</v>
      </c>
      <c r="C1140" s="2">
        <v>45679</v>
      </c>
      <c r="D1140" s="4" t="s">
        <v>66</v>
      </c>
      <c r="E1140" s="4" t="s">
        <v>49</v>
      </c>
      <c r="F1140" s="6">
        <v>4</v>
      </c>
      <c r="G1140" s="6">
        <v>175000</v>
      </c>
      <c r="H1140" s="6">
        <v>700000</v>
      </c>
      <c r="I1140" s="6">
        <v>124090.5</v>
      </c>
      <c r="J1140" s="6">
        <f>H1140 - (F1140 * I1140)</f>
        <v>203638</v>
      </c>
      <c r="K1140" t="s">
        <v>17</v>
      </c>
      <c r="L1140" t="s">
        <v>18</v>
      </c>
      <c r="M1140" t="s">
        <v>30</v>
      </c>
    </row>
    <row r="1141" spans="1:13">
      <c r="A1141" s="4" t="s">
        <v>1296</v>
      </c>
      <c r="B1141" t="s">
        <v>154</v>
      </c>
      <c r="C1141" s="2">
        <v>45805</v>
      </c>
      <c r="D1141" s="4" t="s">
        <v>45</v>
      </c>
      <c r="E1141" s="4" t="s">
        <v>23</v>
      </c>
      <c r="F1141" s="6">
        <v>12</v>
      </c>
      <c r="G1141" s="6">
        <v>450000</v>
      </c>
      <c r="H1141" s="6">
        <v>5400000</v>
      </c>
      <c r="I1141" s="6">
        <v>298407.26</v>
      </c>
      <c r="J1141" s="6">
        <v>1819112.88</v>
      </c>
      <c r="K1141" t="s">
        <v>24</v>
      </c>
      <c r="L1141" t="s">
        <v>18</v>
      </c>
      <c r="M1141" t="s">
        <v>30</v>
      </c>
    </row>
    <row r="1142" spans="1:13">
      <c r="A1142" s="4" t="s">
        <v>1297</v>
      </c>
      <c r="B1142" t="s">
        <v>219</v>
      </c>
      <c r="C1142" s="2">
        <v>45940</v>
      </c>
      <c r="D1142" s="4" t="s">
        <v>106</v>
      </c>
      <c r="E1142" s="4" t="s">
        <v>23</v>
      </c>
      <c r="F1142" s="6">
        <v>1</v>
      </c>
      <c r="G1142" s="6">
        <v>200000</v>
      </c>
      <c r="H1142" s="6">
        <v>200000</v>
      </c>
      <c r="I1142" s="6">
        <v>135583.54999999999</v>
      </c>
      <c r="J1142" s="6">
        <v>64416.45</v>
      </c>
      <c r="K1142" t="s">
        <v>17</v>
      </c>
      <c r="L1142" t="s">
        <v>29</v>
      </c>
      <c r="M1142" t="s">
        <v>67</v>
      </c>
    </row>
    <row r="1143" spans="1:13">
      <c r="A1143" s="4" t="s">
        <v>1298</v>
      </c>
      <c r="B1143" t="s">
        <v>109</v>
      </c>
      <c r="C1143" s="2">
        <v>45927</v>
      </c>
      <c r="D1143" s="4" t="s">
        <v>70</v>
      </c>
      <c r="E1143" s="4" t="s">
        <v>16</v>
      </c>
      <c r="F1143" s="6">
        <v>2</v>
      </c>
      <c r="G1143" s="6">
        <v>35000</v>
      </c>
      <c r="H1143" s="6">
        <v>70000</v>
      </c>
      <c r="I1143" s="6">
        <v>20833.89</v>
      </c>
      <c r="J1143" s="6">
        <v>28332.22</v>
      </c>
      <c r="K1143" t="s">
        <v>24</v>
      </c>
      <c r="L1143" t="s">
        <v>18</v>
      </c>
      <c r="M1143" t="s">
        <v>25</v>
      </c>
    </row>
    <row r="1144" spans="1:13">
      <c r="A1144" s="4" t="s">
        <v>1299</v>
      </c>
      <c r="B1144" t="s">
        <v>111</v>
      </c>
      <c r="C1144" s="2">
        <v>45691</v>
      </c>
      <c r="D1144" s="4" t="s">
        <v>15</v>
      </c>
      <c r="E1144" s="4" t="s">
        <v>16</v>
      </c>
      <c r="F1144" s="6">
        <v>5</v>
      </c>
      <c r="G1144" s="6">
        <v>12500</v>
      </c>
      <c r="H1144" s="6">
        <v>62500</v>
      </c>
      <c r="I1144" s="6">
        <v>8770.39</v>
      </c>
      <c r="J1144" s="6">
        <v>18648.05</v>
      </c>
      <c r="K1144" t="s">
        <v>33</v>
      </c>
      <c r="L1144" t="s">
        <v>18</v>
      </c>
      <c r="M1144" t="s">
        <v>67</v>
      </c>
    </row>
    <row r="1145" spans="1:13">
      <c r="A1145" s="4" t="s">
        <v>1300</v>
      </c>
      <c r="B1145" t="s">
        <v>316</v>
      </c>
      <c r="C1145" s="2">
        <v>45973</v>
      </c>
      <c r="D1145" s="4" t="s">
        <v>22</v>
      </c>
      <c r="E1145" s="4" t="s">
        <v>23</v>
      </c>
      <c r="F1145" s="6">
        <v>4</v>
      </c>
      <c r="G1145" s="6">
        <v>150000</v>
      </c>
      <c r="H1145" s="6">
        <v>600000</v>
      </c>
      <c r="I1145" s="6">
        <v>115960.33</v>
      </c>
      <c r="J1145" s="6">
        <v>136158.68</v>
      </c>
      <c r="K1145" t="s">
        <v>24</v>
      </c>
      <c r="L1145" t="s">
        <v>18</v>
      </c>
      <c r="M1145" t="s">
        <v>38</v>
      </c>
    </row>
    <row r="1146" spans="1:13">
      <c r="A1146" s="4" t="s">
        <v>1301</v>
      </c>
      <c r="B1146" t="s">
        <v>359</v>
      </c>
      <c r="C1146" s="2">
        <v>46009</v>
      </c>
      <c r="D1146" s="4" t="s">
        <v>48</v>
      </c>
      <c r="E1146" s="4" t="s">
        <v>49</v>
      </c>
      <c r="F1146" s="6">
        <v>8</v>
      </c>
      <c r="G1146" s="6">
        <v>200000</v>
      </c>
      <c r="H1146" s="6">
        <v>1600000</v>
      </c>
      <c r="I1146" s="6">
        <v>158319.39000000001</v>
      </c>
      <c r="J1146" s="6">
        <v>333444.88</v>
      </c>
      <c r="K1146" t="s">
        <v>24</v>
      </c>
      <c r="L1146" t="s">
        <v>53</v>
      </c>
      <c r="M1146" t="s">
        <v>30</v>
      </c>
    </row>
    <row r="1147" spans="1:13">
      <c r="A1147" s="4" t="s">
        <v>1302</v>
      </c>
      <c r="B1147" t="s">
        <v>499</v>
      </c>
      <c r="C1147" s="2">
        <v>45775</v>
      </c>
      <c r="D1147" s="4" t="s">
        <v>70</v>
      </c>
      <c r="E1147" s="4" t="s">
        <v>16</v>
      </c>
      <c r="F1147" s="6">
        <v>8</v>
      </c>
      <c r="G1147" s="6">
        <v>22000</v>
      </c>
      <c r="H1147" s="6">
        <v>176000</v>
      </c>
      <c r="I1147" s="6">
        <v>14610.73</v>
      </c>
      <c r="J1147" s="6">
        <v>59114.16</v>
      </c>
      <c r="K1147" t="s">
        <v>33</v>
      </c>
      <c r="L1147" t="s">
        <v>53</v>
      </c>
      <c r="M1147" t="s">
        <v>30</v>
      </c>
    </row>
    <row r="1148" spans="1:13">
      <c r="A1148" s="4" t="s">
        <v>1303</v>
      </c>
      <c r="B1148" t="s">
        <v>90</v>
      </c>
      <c r="C1148" s="2">
        <v>45673</v>
      </c>
      <c r="D1148" s="4" t="s">
        <v>52</v>
      </c>
      <c r="E1148" s="4" t="s">
        <v>23</v>
      </c>
      <c r="F1148" s="6">
        <v>8</v>
      </c>
      <c r="G1148" s="6">
        <v>85000</v>
      </c>
      <c r="H1148" s="6">
        <v>680000</v>
      </c>
      <c r="I1148" s="6">
        <v>60429.78</v>
      </c>
      <c r="J1148" s="6">
        <v>196561.76</v>
      </c>
      <c r="K1148" t="s">
        <v>24</v>
      </c>
      <c r="L1148" t="s">
        <v>53</v>
      </c>
      <c r="M1148" t="s">
        <v>50</v>
      </c>
    </row>
    <row r="1149" spans="1:13">
      <c r="A1149" s="4" t="s">
        <v>1304</v>
      </c>
      <c r="B1149" t="s">
        <v>133</v>
      </c>
      <c r="C1149" s="2">
        <v>45712</v>
      </c>
      <c r="D1149" s="4" t="s">
        <v>28</v>
      </c>
      <c r="E1149" s="4" t="s">
        <v>23</v>
      </c>
      <c r="F1149" s="6">
        <v>12</v>
      </c>
      <c r="G1149" s="6">
        <v>300000</v>
      </c>
      <c r="H1149" s="6">
        <v>3600000</v>
      </c>
      <c r="I1149" s="6">
        <v>185192.25</v>
      </c>
      <c r="J1149" s="6">
        <v>1377693</v>
      </c>
      <c r="K1149" t="s">
        <v>33</v>
      </c>
      <c r="L1149" t="s">
        <v>53</v>
      </c>
      <c r="M1149" t="s">
        <v>38</v>
      </c>
    </row>
    <row r="1150" spans="1:13">
      <c r="A1150" s="4" t="s">
        <v>1305</v>
      </c>
      <c r="B1150" t="s">
        <v>135</v>
      </c>
      <c r="C1150" s="2">
        <v>45661</v>
      </c>
      <c r="D1150" s="4" t="s">
        <v>15</v>
      </c>
      <c r="E1150" s="4" t="s">
        <v>16</v>
      </c>
      <c r="F1150" s="6">
        <v>6</v>
      </c>
      <c r="G1150" s="6">
        <v>8000</v>
      </c>
      <c r="H1150" s="6">
        <v>48000</v>
      </c>
      <c r="I1150" s="6">
        <v>4781.5600000000004</v>
      </c>
      <c r="J1150" s="6">
        <v>19310.64</v>
      </c>
      <c r="K1150" t="s">
        <v>33</v>
      </c>
      <c r="L1150" t="s">
        <v>53</v>
      </c>
      <c r="M1150" t="s">
        <v>50</v>
      </c>
    </row>
    <row r="1151" spans="1:13">
      <c r="A1151" s="4" t="s">
        <v>1306</v>
      </c>
      <c r="B1151" t="s">
        <v>359</v>
      </c>
      <c r="C1151" s="2">
        <v>45950</v>
      </c>
      <c r="D1151" s="4" t="s">
        <v>56</v>
      </c>
      <c r="E1151" s="4" t="s">
        <v>23</v>
      </c>
      <c r="F1151" s="6">
        <v>10</v>
      </c>
      <c r="G1151" s="6">
        <v>45000</v>
      </c>
      <c r="H1151" s="6">
        <v>450000</v>
      </c>
      <c r="I1151" s="6">
        <v>28724.37</v>
      </c>
      <c r="J1151" s="6">
        <v>162756.29999999999</v>
      </c>
      <c r="K1151" t="s">
        <v>80</v>
      </c>
      <c r="L1151" t="s">
        <v>53</v>
      </c>
      <c r="M1151" t="s">
        <v>67</v>
      </c>
    </row>
    <row r="1152" spans="1:13">
      <c r="A1152" s="4" t="s">
        <v>1307</v>
      </c>
      <c r="B1152" t="s">
        <v>292</v>
      </c>
      <c r="C1152" s="2">
        <v>45975</v>
      </c>
      <c r="D1152" s="4" t="s">
        <v>48</v>
      </c>
      <c r="E1152" s="4" t="s">
        <v>49</v>
      </c>
      <c r="F1152" s="6">
        <v>7</v>
      </c>
      <c r="G1152" s="6">
        <v>140000</v>
      </c>
      <c r="H1152" s="6">
        <v>980000</v>
      </c>
      <c r="I1152" s="6">
        <v>114044.8</v>
      </c>
      <c r="J1152" s="6">
        <v>181686.39999999999</v>
      </c>
      <c r="K1152" t="s">
        <v>24</v>
      </c>
      <c r="L1152" t="s">
        <v>53</v>
      </c>
      <c r="M1152" t="s">
        <v>25</v>
      </c>
    </row>
    <row r="1153" spans="1:13">
      <c r="A1153" s="4" t="s">
        <v>1308</v>
      </c>
      <c r="B1153" t="s">
        <v>308</v>
      </c>
      <c r="C1153" s="2">
        <v>45941</v>
      </c>
      <c r="D1153" s="4" t="s">
        <v>56</v>
      </c>
      <c r="E1153" s="4" t="s">
        <v>23</v>
      </c>
      <c r="F1153" s="6">
        <v>12</v>
      </c>
      <c r="G1153" s="6">
        <v>70000</v>
      </c>
      <c r="H1153" s="6">
        <v>840000</v>
      </c>
      <c r="I1153" s="6">
        <v>49674.11</v>
      </c>
      <c r="J1153" s="6">
        <v>243910.68</v>
      </c>
      <c r="K1153" t="s">
        <v>24</v>
      </c>
      <c r="L1153" t="s">
        <v>29</v>
      </c>
      <c r="M1153" t="s">
        <v>50</v>
      </c>
    </row>
    <row r="1154" spans="1:13">
      <c r="A1154" s="4" t="s">
        <v>1309</v>
      </c>
      <c r="B1154" t="s">
        <v>58</v>
      </c>
      <c r="C1154" s="2">
        <v>45938</v>
      </c>
      <c r="D1154" s="4" t="s">
        <v>28</v>
      </c>
      <c r="E1154" s="4" t="s">
        <v>23</v>
      </c>
      <c r="F1154" s="6">
        <v>10</v>
      </c>
      <c r="G1154" s="6">
        <v>220000</v>
      </c>
      <c r="H1154" s="6">
        <v>2200000</v>
      </c>
      <c r="I1154" s="6">
        <v>132486.69</v>
      </c>
      <c r="J1154" s="6">
        <v>875133.1</v>
      </c>
      <c r="K1154" t="s">
        <v>71</v>
      </c>
      <c r="L1154" t="s">
        <v>53</v>
      </c>
      <c r="M1154" t="s">
        <v>34</v>
      </c>
    </row>
    <row r="1155" spans="1:13">
      <c r="A1155" s="4" t="s">
        <v>1310</v>
      </c>
      <c r="B1155" t="s">
        <v>450</v>
      </c>
      <c r="C1155" s="2">
        <v>45954</v>
      </c>
      <c r="D1155" s="4" t="s">
        <v>56</v>
      </c>
      <c r="E1155" s="4" t="s">
        <v>23</v>
      </c>
      <c r="F1155" s="6">
        <v>6</v>
      </c>
      <c r="G1155" s="6">
        <v>30000</v>
      </c>
      <c r="H1155" s="6">
        <v>180000</v>
      </c>
      <c r="I1155" s="6">
        <v>18070.509999999998</v>
      </c>
      <c r="J1155" s="6">
        <v>71576.94</v>
      </c>
      <c r="K1155" t="s">
        <v>24</v>
      </c>
      <c r="L1155" t="s">
        <v>29</v>
      </c>
      <c r="M1155" t="s">
        <v>30</v>
      </c>
    </row>
    <row r="1156" spans="1:13">
      <c r="A1156" s="4" t="s">
        <v>1311</v>
      </c>
      <c r="B1156" t="s">
        <v>302</v>
      </c>
      <c r="C1156" s="2">
        <v>45929</v>
      </c>
      <c r="D1156" s="4" t="s">
        <v>56</v>
      </c>
      <c r="E1156" s="4" t="s">
        <v>23</v>
      </c>
      <c r="F1156" s="6">
        <v>9</v>
      </c>
      <c r="G1156" s="6">
        <v>45000</v>
      </c>
      <c r="H1156" s="6">
        <v>405000</v>
      </c>
      <c r="I1156" s="6">
        <v>31046.48</v>
      </c>
      <c r="J1156" s="6">
        <v>125581.68</v>
      </c>
      <c r="K1156" t="s">
        <v>71</v>
      </c>
      <c r="L1156" t="s">
        <v>29</v>
      </c>
      <c r="M1156" t="s">
        <v>50</v>
      </c>
    </row>
    <row r="1157" spans="1:13">
      <c r="A1157" s="4" t="s">
        <v>1312</v>
      </c>
      <c r="B1157" t="s">
        <v>55</v>
      </c>
      <c r="C1157" s="2" t="s">
        <v>355</v>
      </c>
      <c r="D1157" s="4" t="s">
        <v>48</v>
      </c>
      <c r="E1157" s="4" t="s">
        <v>49</v>
      </c>
      <c r="F1157" s="6">
        <v>3</v>
      </c>
      <c r="G1157" s="6">
        <v>100000</v>
      </c>
      <c r="H1157" s="6">
        <v>300000</v>
      </c>
      <c r="I1157" s="6">
        <v>72280.84</v>
      </c>
      <c r="J1157" s="6">
        <v>83157.48</v>
      </c>
      <c r="K1157" t="s">
        <v>71</v>
      </c>
      <c r="L1157" t="s">
        <v>29</v>
      </c>
      <c r="M1157" t="s">
        <v>67</v>
      </c>
    </row>
    <row r="1158" spans="1:13">
      <c r="A1158" s="4" t="s">
        <v>1313</v>
      </c>
      <c r="B1158" t="s">
        <v>211</v>
      </c>
      <c r="C1158" s="2">
        <v>45727</v>
      </c>
      <c r="D1158" s="4" t="s">
        <v>48</v>
      </c>
      <c r="E1158" s="4" t="s">
        <v>49</v>
      </c>
      <c r="F1158" s="6">
        <v>6</v>
      </c>
      <c r="G1158" s="6">
        <v>140000</v>
      </c>
      <c r="H1158" s="6">
        <v>840000</v>
      </c>
      <c r="I1158" s="6">
        <v>96965.05</v>
      </c>
      <c r="J1158" s="6">
        <v>258209.7</v>
      </c>
      <c r="K1158" t="s">
        <v>80</v>
      </c>
      <c r="L1158" t="s">
        <v>29</v>
      </c>
      <c r="M1158" t="s">
        <v>19</v>
      </c>
    </row>
    <row r="1159" spans="1:13">
      <c r="A1159" s="4" t="s">
        <v>1314</v>
      </c>
      <c r="B1159" t="s">
        <v>365</v>
      </c>
      <c r="C1159" s="2">
        <v>45788</v>
      </c>
      <c r="D1159" s="4" t="s">
        <v>52</v>
      </c>
      <c r="E1159" s="4" t="s">
        <v>23</v>
      </c>
      <c r="F1159" s="6">
        <v>8</v>
      </c>
      <c r="G1159" s="6">
        <v>65000</v>
      </c>
      <c r="H1159" s="6">
        <v>520000</v>
      </c>
      <c r="I1159" s="6">
        <v>48102.720000000001</v>
      </c>
      <c r="J1159" s="6">
        <v>135178.23999999999</v>
      </c>
      <c r="K1159" t="s">
        <v>24</v>
      </c>
      <c r="L1159" t="s">
        <v>18</v>
      </c>
      <c r="M1159" t="s">
        <v>25</v>
      </c>
    </row>
    <row r="1160" spans="1:13">
      <c r="A1160" s="4" t="s">
        <v>1315</v>
      </c>
      <c r="B1160" t="s">
        <v>205</v>
      </c>
      <c r="C1160" s="2">
        <v>45823</v>
      </c>
      <c r="D1160" s="4" t="s">
        <v>70</v>
      </c>
      <c r="E1160" s="4" t="s">
        <v>16</v>
      </c>
      <c r="F1160" s="6">
        <v>10</v>
      </c>
      <c r="G1160" s="6">
        <v>15000</v>
      </c>
      <c r="H1160" s="6">
        <v>150000</v>
      </c>
      <c r="I1160" s="6">
        <v>11609.98</v>
      </c>
      <c r="J1160" s="6">
        <v>33900.199999999997</v>
      </c>
      <c r="K1160" t="s">
        <v>71</v>
      </c>
      <c r="L1160" t="s">
        <v>29</v>
      </c>
      <c r="M1160" t="s">
        <v>30</v>
      </c>
    </row>
    <row r="1161" spans="1:13">
      <c r="A1161" s="4" t="s">
        <v>1316</v>
      </c>
      <c r="B1161" t="s">
        <v>151</v>
      </c>
      <c r="C1161" s="2">
        <v>45920</v>
      </c>
      <c r="D1161" s="4" t="s">
        <v>28</v>
      </c>
      <c r="E1161" s="4" t="s">
        <v>23</v>
      </c>
      <c r="F1161" s="6">
        <v>5</v>
      </c>
      <c r="G1161" s="6">
        <v>300000</v>
      </c>
      <c r="H1161" s="6">
        <v>1500000</v>
      </c>
      <c r="I1161" s="6">
        <v>232546.61</v>
      </c>
      <c r="J1161" s="6">
        <v>337266.95</v>
      </c>
      <c r="K1161" t="s">
        <v>24</v>
      </c>
      <c r="L1161" t="s">
        <v>18</v>
      </c>
      <c r="M1161" t="s">
        <v>30</v>
      </c>
    </row>
    <row r="1162" spans="1:13">
      <c r="A1162" s="4" t="s">
        <v>1317</v>
      </c>
      <c r="B1162" t="s">
        <v>100</v>
      </c>
      <c r="C1162" s="2">
        <v>45844</v>
      </c>
      <c r="D1162" s="4" t="s">
        <v>70</v>
      </c>
      <c r="E1162" s="4" t="s">
        <v>16</v>
      </c>
      <c r="F1162" s="6">
        <v>2</v>
      </c>
      <c r="G1162" s="6">
        <v>35000</v>
      </c>
      <c r="H1162" s="6">
        <v>70000</v>
      </c>
      <c r="I1162" s="6">
        <v>21978.32</v>
      </c>
      <c r="J1162" s="6">
        <v>26043.360000000001</v>
      </c>
      <c r="K1162" t="s">
        <v>71</v>
      </c>
      <c r="L1162" t="s">
        <v>18</v>
      </c>
      <c r="M1162" t="s">
        <v>34</v>
      </c>
    </row>
    <row r="1163" spans="1:13">
      <c r="A1163" s="4" t="s">
        <v>1318</v>
      </c>
      <c r="B1163" t="s">
        <v>417</v>
      </c>
      <c r="C1163" s="2">
        <v>45711</v>
      </c>
      <c r="D1163" s="4" t="s">
        <v>28</v>
      </c>
      <c r="E1163" s="4" t="s">
        <v>23</v>
      </c>
      <c r="F1163" s="6">
        <v>5</v>
      </c>
      <c r="G1163" s="6">
        <v>300000</v>
      </c>
      <c r="H1163" s="6">
        <v>1500000</v>
      </c>
      <c r="I1163" s="6">
        <v>185179.75</v>
      </c>
      <c r="J1163" s="6">
        <v>574101.25</v>
      </c>
      <c r="K1163" t="s">
        <v>80</v>
      </c>
      <c r="L1163" t="s">
        <v>29</v>
      </c>
      <c r="M1163" t="s">
        <v>50</v>
      </c>
    </row>
    <row r="1164" spans="1:13">
      <c r="A1164" s="4" t="s">
        <v>1319</v>
      </c>
      <c r="B1164" t="s">
        <v>245</v>
      </c>
      <c r="C1164" s="2">
        <v>45684</v>
      </c>
      <c r="D1164" s="4" t="s">
        <v>56</v>
      </c>
      <c r="E1164" s="4" t="s">
        <v>23</v>
      </c>
      <c r="F1164" s="6">
        <v>10</v>
      </c>
      <c r="G1164" s="6">
        <v>45000</v>
      </c>
      <c r="H1164" s="6">
        <v>450000</v>
      </c>
      <c r="I1164" s="6">
        <v>27941.53</v>
      </c>
      <c r="J1164" s="6">
        <v>170584.7</v>
      </c>
      <c r="K1164" t="s">
        <v>33</v>
      </c>
      <c r="L1164" t="s">
        <v>29</v>
      </c>
      <c r="M1164" t="s">
        <v>50</v>
      </c>
    </row>
    <row r="1165" spans="1:13">
      <c r="A1165" s="4" t="s">
        <v>1320</v>
      </c>
      <c r="B1165" t="s">
        <v>193</v>
      </c>
      <c r="C1165" s="2">
        <v>45893</v>
      </c>
      <c r="D1165" s="4" t="s">
        <v>52</v>
      </c>
      <c r="E1165" s="4" t="s">
        <v>23</v>
      </c>
      <c r="F1165" s="6">
        <v>9</v>
      </c>
      <c r="G1165" s="6">
        <v>65000</v>
      </c>
      <c r="H1165" s="6">
        <v>585000</v>
      </c>
      <c r="I1165" s="6">
        <v>44914.53</v>
      </c>
      <c r="J1165" s="6">
        <v>180769.23</v>
      </c>
      <c r="K1165" t="s">
        <v>17</v>
      </c>
      <c r="L1165" t="s">
        <v>18</v>
      </c>
      <c r="M1165" t="s">
        <v>19</v>
      </c>
    </row>
    <row r="1166" spans="1:13">
      <c r="A1166" s="4" t="s">
        <v>1321</v>
      </c>
      <c r="B1166" t="s">
        <v>200</v>
      </c>
      <c r="C1166" s="2">
        <v>45843</v>
      </c>
      <c r="D1166" s="4" t="s">
        <v>63</v>
      </c>
      <c r="E1166" s="4" t="s">
        <v>16</v>
      </c>
      <c r="F1166" s="6">
        <v>10</v>
      </c>
      <c r="G1166" s="6">
        <v>5000</v>
      </c>
      <c r="H1166" s="6">
        <v>50000</v>
      </c>
      <c r="I1166" s="6">
        <v>3124.58</v>
      </c>
      <c r="J1166" s="6">
        <v>18754.2</v>
      </c>
      <c r="K1166" t="s">
        <v>71</v>
      </c>
      <c r="L1166" t="s">
        <v>29</v>
      </c>
      <c r="M1166" t="s">
        <v>30</v>
      </c>
    </row>
    <row r="1167" spans="1:13">
      <c r="A1167" s="4" t="s">
        <v>1322</v>
      </c>
      <c r="B1167" t="s">
        <v>250</v>
      </c>
      <c r="C1167" s="2">
        <v>45798</v>
      </c>
      <c r="D1167" s="4" t="s">
        <v>106</v>
      </c>
      <c r="E1167" s="4" t="s">
        <v>23</v>
      </c>
      <c r="F1167" s="6">
        <v>10</v>
      </c>
      <c r="G1167" s="6">
        <v>120000</v>
      </c>
      <c r="H1167" s="6">
        <v>1200000</v>
      </c>
      <c r="I1167" s="6">
        <v>79735.94</v>
      </c>
      <c r="J1167" s="6">
        <v>402640.6</v>
      </c>
      <c r="K1167" t="s">
        <v>24</v>
      </c>
      <c r="L1167" t="s">
        <v>29</v>
      </c>
      <c r="M1167" t="s">
        <v>30</v>
      </c>
    </row>
    <row r="1168" spans="1:13">
      <c r="A1168" s="4" t="s">
        <v>1323</v>
      </c>
      <c r="B1168" t="s">
        <v>65</v>
      </c>
      <c r="C1168" s="2">
        <v>45703</v>
      </c>
      <c r="D1168" s="4" t="s">
        <v>52</v>
      </c>
      <c r="E1168" s="4" t="s">
        <v>23</v>
      </c>
      <c r="F1168" s="6">
        <v>4</v>
      </c>
      <c r="G1168" s="6">
        <v>65000</v>
      </c>
      <c r="H1168" s="6">
        <v>260000</v>
      </c>
      <c r="I1168" s="6">
        <v>41183.919999999998</v>
      </c>
      <c r="J1168" s="6">
        <v>95264.320000000007</v>
      </c>
      <c r="K1168" t="s">
        <v>80</v>
      </c>
      <c r="L1168" t="s">
        <v>29</v>
      </c>
      <c r="M1168" t="s">
        <v>19</v>
      </c>
    </row>
    <row r="1169" spans="1:13">
      <c r="A1169" s="4" t="s">
        <v>1324</v>
      </c>
      <c r="B1169" t="s">
        <v>536</v>
      </c>
      <c r="C1169" s="2">
        <v>45824</v>
      </c>
      <c r="D1169" s="4" t="s">
        <v>251</v>
      </c>
      <c r="E1169" s="4" t="s">
        <v>23</v>
      </c>
      <c r="F1169" s="6">
        <v>7</v>
      </c>
      <c r="G1169" s="6">
        <v>150000</v>
      </c>
      <c r="H1169" s="6">
        <v>1050000</v>
      </c>
      <c r="I1169" s="6">
        <v>97506.5</v>
      </c>
      <c r="J1169" s="6">
        <v>367454.5</v>
      </c>
      <c r="K1169" t="s">
        <v>17</v>
      </c>
      <c r="L1169" t="s">
        <v>18</v>
      </c>
      <c r="M1169" t="s">
        <v>25</v>
      </c>
    </row>
    <row r="1170" spans="1:13">
      <c r="A1170" s="4" t="s">
        <v>1325</v>
      </c>
      <c r="B1170" t="s">
        <v>365</v>
      </c>
      <c r="C1170" s="2">
        <v>45999</v>
      </c>
      <c r="D1170" s="4" t="s">
        <v>37</v>
      </c>
      <c r="E1170" s="4" t="s">
        <v>16</v>
      </c>
      <c r="F1170" s="6">
        <v>8</v>
      </c>
      <c r="G1170" s="6">
        <v>25000</v>
      </c>
      <c r="H1170" s="6">
        <v>200000</v>
      </c>
      <c r="I1170" s="6">
        <v>18651.05</v>
      </c>
      <c r="J1170" s="6">
        <v>50791.6</v>
      </c>
      <c r="K1170" t="s">
        <v>33</v>
      </c>
      <c r="L1170" t="s">
        <v>18</v>
      </c>
      <c r="M1170" t="s">
        <v>19</v>
      </c>
    </row>
    <row r="1171" spans="1:13">
      <c r="A1171" s="4" t="s">
        <v>1326</v>
      </c>
      <c r="B1171" t="s">
        <v>499</v>
      </c>
      <c r="C1171" s="2">
        <v>45991</v>
      </c>
      <c r="D1171" s="4" t="s">
        <v>270</v>
      </c>
      <c r="E1171" s="4" t="s">
        <v>23</v>
      </c>
      <c r="F1171" s="6">
        <v>2</v>
      </c>
      <c r="G1171" s="6">
        <v>520000</v>
      </c>
      <c r="H1171" s="6">
        <v>1040000</v>
      </c>
      <c r="I1171" s="6">
        <v>338785.55</v>
      </c>
      <c r="J1171" s="6">
        <v>362428.9</v>
      </c>
      <c r="K1171" t="s">
        <v>17</v>
      </c>
      <c r="L1171" t="s">
        <v>29</v>
      </c>
      <c r="M1171" t="s">
        <v>19</v>
      </c>
    </row>
    <row r="1172" spans="1:13">
      <c r="A1172" s="4" t="s">
        <v>1327</v>
      </c>
      <c r="B1172" t="s">
        <v>127</v>
      </c>
      <c r="C1172" s="2">
        <v>45736</v>
      </c>
      <c r="D1172" s="4" t="s">
        <v>70</v>
      </c>
      <c r="E1172" s="4" t="s">
        <v>16</v>
      </c>
      <c r="F1172" s="6">
        <v>3</v>
      </c>
      <c r="G1172" s="6">
        <v>15000</v>
      </c>
      <c r="H1172" s="6">
        <v>45000</v>
      </c>
      <c r="I1172" s="6">
        <v>11692.84</v>
      </c>
      <c r="J1172" s="6">
        <v>9921.48</v>
      </c>
      <c r="K1172" t="s">
        <v>33</v>
      </c>
      <c r="L1172" t="s">
        <v>53</v>
      </c>
      <c r="M1172" t="s">
        <v>38</v>
      </c>
    </row>
    <row r="1173" spans="1:13">
      <c r="A1173" s="4" t="s">
        <v>1328</v>
      </c>
      <c r="B1173" t="s">
        <v>14</v>
      </c>
      <c r="C1173" s="2">
        <v>45745</v>
      </c>
      <c r="D1173" s="4" t="s">
        <v>63</v>
      </c>
      <c r="E1173" s="4" t="s">
        <v>16</v>
      </c>
      <c r="F1173" s="6">
        <v>10</v>
      </c>
      <c r="G1173" s="6">
        <v>3000</v>
      </c>
      <c r="H1173" s="6">
        <v>30000</v>
      </c>
      <c r="I1173" s="6">
        <v>1750.16</v>
      </c>
      <c r="J1173" s="6">
        <v>12498.4</v>
      </c>
      <c r="K1173" t="s">
        <v>80</v>
      </c>
      <c r="L1173" t="s">
        <v>29</v>
      </c>
      <c r="M1173" t="s">
        <v>34</v>
      </c>
    </row>
    <row r="1174" spans="1:13">
      <c r="A1174" s="4" t="s">
        <v>1329</v>
      </c>
      <c r="B1174" t="s">
        <v>174</v>
      </c>
      <c r="C1174" s="2">
        <v>45936</v>
      </c>
      <c r="D1174" s="4" t="s">
        <v>22</v>
      </c>
      <c r="E1174" s="4" t="s">
        <v>23</v>
      </c>
      <c r="F1174" s="6">
        <v>10</v>
      </c>
      <c r="G1174" s="6">
        <v>150000</v>
      </c>
      <c r="H1174" s="6">
        <v>1500000</v>
      </c>
      <c r="I1174" s="6">
        <v>100559.74</v>
      </c>
      <c r="J1174" s="6">
        <v>494402.6</v>
      </c>
      <c r="K1174" t="s">
        <v>24</v>
      </c>
      <c r="L1174" t="s">
        <v>18</v>
      </c>
      <c r="M1174" t="s">
        <v>38</v>
      </c>
    </row>
    <row r="1175" spans="1:13">
      <c r="A1175" s="4" t="s">
        <v>1330</v>
      </c>
      <c r="B1175" t="s">
        <v>117</v>
      </c>
      <c r="C1175" s="2">
        <v>45946</v>
      </c>
      <c r="D1175" s="4" t="s">
        <v>370</v>
      </c>
      <c r="E1175" s="4" t="s">
        <v>23</v>
      </c>
      <c r="F1175" s="6">
        <v>5</v>
      </c>
      <c r="G1175" s="6">
        <v>30000</v>
      </c>
      <c r="H1175" s="6">
        <v>150000</v>
      </c>
      <c r="I1175" s="6">
        <v>21930.959999999999</v>
      </c>
      <c r="J1175" s="6">
        <v>40345.199999999997</v>
      </c>
      <c r="K1175" t="s">
        <v>71</v>
      </c>
      <c r="L1175" t="s">
        <v>18</v>
      </c>
      <c r="M1175" t="s">
        <v>67</v>
      </c>
    </row>
    <row r="1176" spans="1:13">
      <c r="A1176" s="4" t="s">
        <v>1331</v>
      </c>
      <c r="B1176" t="s">
        <v>154</v>
      </c>
      <c r="C1176" s="2">
        <v>45669</v>
      </c>
      <c r="D1176" s="4" t="s">
        <v>28</v>
      </c>
      <c r="E1176" s="4" t="s">
        <v>23</v>
      </c>
      <c r="F1176" s="6">
        <v>2</v>
      </c>
      <c r="G1176" s="6">
        <v>180000</v>
      </c>
      <c r="H1176" s="6">
        <v>360000</v>
      </c>
      <c r="I1176" s="6">
        <v>143387.82999999999</v>
      </c>
      <c r="J1176" s="6">
        <v>73224.34</v>
      </c>
      <c r="K1176" t="s">
        <v>71</v>
      </c>
      <c r="L1176" t="s">
        <v>53</v>
      </c>
      <c r="M1176" t="s">
        <v>34</v>
      </c>
    </row>
    <row r="1177" spans="1:13">
      <c r="A1177" s="4" t="s">
        <v>1332</v>
      </c>
      <c r="B1177" t="s">
        <v>117</v>
      </c>
      <c r="C1177" s="2">
        <v>45853</v>
      </c>
      <c r="D1177" s="4" t="s">
        <v>22</v>
      </c>
      <c r="E1177" s="4" t="s">
        <v>23</v>
      </c>
      <c r="F1177" s="6">
        <v>10</v>
      </c>
      <c r="G1177" s="6">
        <v>280000</v>
      </c>
      <c r="H1177" s="6">
        <v>2800000</v>
      </c>
      <c r="I1177" s="6">
        <v>178583.76</v>
      </c>
      <c r="J1177" s="6">
        <v>1014162.4</v>
      </c>
      <c r="K1177" t="s">
        <v>71</v>
      </c>
      <c r="L1177" t="s">
        <v>53</v>
      </c>
      <c r="M1177" t="s">
        <v>30</v>
      </c>
    </row>
    <row r="1178" spans="1:13">
      <c r="A1178" s="4" t="s">
        <v>1333</v>
      </c>
      <c r="B1178" t="s">
        <v>121</v>
      </c>
      <c r="C1178" s="2">
        <v>45905</v>
      </c>
      <c r="D1178" s="4" t="s">
        <v>48</v>
      </c>
      <c r="E1178" s="4" t="s">
        <v>49</v>
      </c>
      <c r="F1178" s="6">
        <v>8</v>
      </c>
      <c r="G1178" s="6">
        <v>140000</v>
      </c>
      <c r="H1178" s="6">
        <v>1120000</v>
      </c>
      <c r="I1178" s="6">
        <v>108944.68</v>
      </c>
      <c r="J1178" s="6">
        <v>248442.56</v>
      </c>
      <c r="K1178" t="s">
        <v>24</v>
      </c>
      <c r="L1178" t="s">
        <v>29</v>
      </c>
      <c r="M1178" t="s">
        <v>34</v>
      </c>
    </row>
    <row r="1179" spans="1:13">
      <c r="A1179" s="4" t="s">
        <v>1334</v>
      </c>
      <c r="B1179" t="s">
        <v>121</v>
      </c>
      <c r="C1179" s="2">
        <v>45725</v>
      </c>
      <c r="D1179" s="4" t="s">
        <v>48</v>
      </c>
      <c r="E1179" s="4" t="s">
        <v>49</v>
      </c>
      <c r="F1179" s="6">
        <v>4</v>
      </c>
      <c r="G1179" s="6">
        <v>200000</v>
      </c>
      <c r="H1179" s="6">
        <v>800000</v>
      </c>
      <c r="I1179" s="6">
        <v>122651.67</v>
      </c>
      <c r="J1179" s="6">
        <v>309393.32</v>
      </c>
      <c r="K1179" t="s">
        <v>71</v>
      </c>
      <c r="L1179" t="s">
        <v>53</v>
      </c>
      <c r="M1179" t="s">
        <v>19</v>
      </c>
    </row>
    <row r="1180" spans="1:13">
      <c r="A1180" s="4" t="s">
        <v>1335</v>
      </c>
      <c r="B1180" t="s">
        <v>187</v>
      </c>
      <c r="C1180" s="2">
        <v>46021</v>
      </c>
      <c r="D1180" s="4" t="s">
        <v>52</v>
      </c>
      <c r="E1180" s="4" t="s">
        <v>23</v>
      </c>
      <c r="F1180" s="6">
        <v>7</v>
      </c>
      <c r="G1180" s="6">
        <v>85000</v>
      </c>
      <c r="H1180" s="6">
        <v>595000</v>
      </c>
      <c r="I1180" s="6">
        <v>64556.52</v>
      </c>
      <c r="J1180" s="6">
        <v>143104.35999999999</v>
      </c>
      <c r="K1180" t="s">
        <v>24</v>
      </c>
      <c r="L1180" t="s">
        <v>29</v>
      </c>
      <c r="M1180" t="s">
        <v>34</v>
      </c>
    </row>
    <row r="1181" spans="1:13">
      <c r="A1181" s="4" t="s">
        <v>1336</v>
      </c>
      <c r="B1181" t="s">
        <v>351</v>
      </c>
      <c r="C1181" s="2">
        <v>45672</v>
      </c>
      <c r="D1181" s="4" t="s">
        <v>106</v>
      </c>
      <c r="E1181" s="4" t="s">
        <v>23</v>
      </c>
      <c r="F1181" s="6">
        <v>1</v>
      </c>
      <c r="G1181" s="6">
        <v>150000</v>
      </c>
      <c r="H1181" s="6">
        <v>150000</v>
      </c>
      <c r="I1181" s="6">
        <v>115661.16</v>
      </c>
      <c r="J1181" s="6">
        <v>34338.839999999997</v>
      </c>
      <c r="K1181" t="s">
        <v>24</v>
      </c>
      <c r="L1181" t="s">
        <v>29</v>
      </c>
      <c r="M1181" t="s">
        <v>30</v>
      </c>
    </row>
    <row r="1182" spans="1:13">
      <c r="A1182" s="4" t="s">
        <v>1337</v>
      </c>
      <c r="B1182" t="s">
        <v>86</v>
      </c>
      <c r="C1182" s="2">
        <v>45886</v>
      </c>
      <c r="D1182" s="4" t="s">
        <v>106</v>
      </c>
      <c r="E1182" s="4" t="s">
        <v>23</v>
      </c>
      <c r="F1182" s="6">
        <v>3</v>
      </c>
      <c r="G1182" s="6">
        <v>120000</v>
      </c>
      <c r="H1182" s="6">
        <v>360000</v>
      </c>
      <c r="I1182" s="6">
        <v>87286.27</v>
      </c>
      <c r="J1182" s="6">
        <v>98141.19</v>
      </c>
      <c r="K1182" t="s">
        <v>71</v>
      </c>
      <c r="L1182" t="s">
        <v>18</v>
      </c>
      <c r="M1182" t="s">
        <v>19</v>
      </c>
    </row>
    <row r="1183" spans="1:13">
      <c r="A1183" s="4" t="s">
        <v>1338</v>
      </c>
      <c r="B1183" t="s">
        <v>82</v>
      </c>
      <c r="C1183" s="2">
        <v>45895</v>
      </c>
      <c r="D1183" s="4" t="s">
        <v>48</v>
      </c>
      <c r="E1183" s="4" t="s">
        <v>49</v>
      </c>
      <c r="F1183" s="6">
        <v>4</v>
      </c>
      <c r="G1183" s="6">
        <v>100000</v>
      </c>
      <c r="H1183" s="6">
        <v>400000</v>
      </c>
      <c r="I1183" s="6">
        <v>76989.27</v>
      </c>
      <c r="J1183" s="6">
        <v>92042.92</v>
      </c>
      <c r="K1183" t="s">
        <v>24</v>
      </c>
      <c r="L1183" t="s">
        <v>29</v>
      </c>
      <c r="M1183" t="s">
        <v>38</v>
      </c>
    </row>
    <row r="1184" spans="1:13">
      <c r="A1184" s="4" t="s">
        <v>1339</v>
      </c>
      <c r="B1184" t="s">
        <v>169</v>
      </c>
      <c r="C1184" s="2">
        <v>45779</v>
      </c>
      <c r="D1184" s="4" t="s">
        <v>48</v>
      </c>
      <c r="E1184" s="4" t="s">
        <v>49</v>
      </c>
      <c r="F1184" s="6">
        <v>7</v>
      </c>
      <c r="G1184" s="6">
        <v>140000</v>
      </c>
      <c r="H1184" s="6">
        <v>980000</v>
      </c>
      <c r="I1184" s="6">
        <v>113495.82</v>
      </c>
      <c r="J1184" s="6">
        <v>185529.26</v>
      </c>
      <c r="K1184" t="s">
        <v>24</v>
      </c>
      <c r="L1184" t="s">
        <v>53</v>
      </c>
      <c r="M1184" t="s">
        <v>67</v>
      </c>
    </row>
    <row r="1185" spans="1:13">
      <c r="A1185" s="4" t="s">
        <v>1340</v>
      </c>
      <c r="B1185" t="s">
        <v>918</v>
      </c>
      <c r="C1185" s="2">
        <v>45691</v>
      </c>
      <c r="D1185" s="4" t="s">
        <v>63</v>
      </c>
      <c r="E1185" s="4" t="s">
        <v>16</v>
      </c>
      <c r="F1185" s="6">
        <v>3</v>
      </c>
      <c r="G1185" s="6">
        <v>5000</v>
      </c>
      <c r="H1185" s="6">
        <v>15000</v>
      </c>
      <c r="I1185" s="6">
        <v>3908.89</v>
      </c>
      <c r="J1185" s="6">
        <v>3273.33</v>
      </c>
      <c r="K1185" t="s">
        <v>80</v>
      </c>
      <c r="L1185" t="s">
        <v>18</v>
      </c>
      <c r="M1185" t="s">
        <v>25</v>
      </c>
    </row>
    <row r="1186" spans="1:13">
      <c r="A1186" s="4" t="s">
        <v>1341</v>
      </c>
      <c r="B1186" t="s">
        <v>159</v>
      </c>
      <c r="C1186" s="2">
        <v>45719</v>
      </c>
      <c r="D1186" s="4" t="s">
        <v>66</v>
      </c>
      <c r="E1186" s="4" t="s">
        <v>49</v>
      </c>
      <c r="F1186" s="6">
        <v>4</v>
      </c>
      <c r="G1186" s="6">
        <v>90000</v>
      </c>
      <c r="H1186" s="6">
        <v>360000</v>
      </c>
      <c r="I1186" s="6">
        <v>53582.96</v>
      </c>
      <c r="J1186" s="6">
        <v>145668.16</v>
      </c>
      <c r="K1186" t="s">
        <v>33</v>
      </c>
      <c r="L1186" t="s">
        <v>18</v>
      </c>
      <c r="M1186" t="s">
        <v>50</v>
      </c>
    </row>
    <row r="1187" spans="1:13">
      <c r="A1187" s="4" t="s">
        <v>1342</v>
      </c>
      <c r="B1187" t="s">
        <v>84</v>
      </c>
      <c r="C1187" s="2">
        <v>45862</v>
      </c>
      <c r="D1187" s="4" t="s">
        <v>106</v>
      </c>
      <c r="E1187" s="4" t="s">
        <v>23</v>
      </c>
      <c r="F1187" s="6">
        <v>6</v>
      </c>
      <c r="G1187" s="6">
        <v>200000</v>
      </c>
      <c r="H1187" s="6">
        <v>1200000</v>
      </c>
      <c r="I1187" s="6">
        <v>134966.87</v>
      </c>
      <c r="J1187" s="6">
        <v>390198.78</v>
      </c>
      <c r="K1187" t="s">
        <v>71</v>
      </c>
      <c r="L1187" t="s">
        <v>18</v>
      </c>
      <c r="M1187" t="s">
        <v>67</v>
      </c>
    </row>
    <row r="1188" spans="1:13">
      <c r="A1188" s="4" t="s">
        <v>1343</v>
      </c>
      <c r="B1188" t="s">
        <v>111</v>
      </c>
      <c r="C1188" s="2">
        <v>45996</v>
      </c>
      <c r="D1188" s="4" t="s">
        <v>52</v>
      </c>
      <c r="E1188" s="4" t="s">
        <v>23</v>
      </c>
      <c r="F1188" s="6">
        <v>1</v>
      </c>
      <c r="G1188" s="6">
        <v>45000</v>
      </c>
      <c r="H1188" s="6">
        <v>45000</v>
      </c>
      <c r="I1188" s="6">
        <v>28450.21</v>
      </c>
      <c r="J1188" s="6">
        <v>16549.79</v>
      </c>
      <c r="K1188" t="s">
        <v>33</v>
      </c>
      <c r="L1188" t="s">
        <v>18</v>
      </c>
      <c r="M1188" t="s">
        <v>34</v>
      </c>
    </row>
    <row r="1189" spans="1:13">
      <c r="A1189" s="4" t="s">
        <v>1344</v>
      </c>
      <c r="B1189" t="s">
        <v>365</v>
      </c>
      <c r="C1189" s="2">
        <v>45887</v>
      </c>
      <c r="D1189" s="4" t="s">
        <v>48</v>
      </c>
      <c r="E1189" s="4" t="s">
        <v>49</v>
      </c>
      <c r="F1189" s="6">
        <v>3</v>
      </c>
      <c r="G1189" s="6">
        <v>140000</v>
      </c>
      <c r="H1189" s="6">
        <v>420000</v>
      </c>
      <c r="I1189" s="6">
        <v>87365.2</v>
      </c>
      <c r="J1189" s="6">
        <v>157904.4</v>
      </c>
      <c r="K1189" t="s">
        <v>71</v>
      </c>
      <c r="L1189" t="s">
        <v>53</v>
      </c>
      <c r="M1189" t="s">
        <v>30</v>
      </c>
    </row>
    <row r="1190" spans="1:13">
      <c r="A1190" s="4" t="s">
        <v>1345</v>
      </c>
      <c r="B1190" t="s">
        <v>44</v>
      </c>
      <c r="C1190" s="2">
        <v>45712</v>
      </c>
      <c r="D1190" s="4" t="s">
        <v>66</v>
      </c>
      <c r="E1190" s="4" t="s">
        <v>49</v>
      </c>
      <c r="F1190" s="6">
        <v>3</v>
      </c>
      <c r="G1190" s="6">
        <v>120000</v>
      </c>
      <c r="H1190" s="6">
        <v>360000</v>
      </c>
      <c r="I1190" s="6">
        <v>69794.899999999994</v>
      </c>
      <c r="J1190" s="6">
        <v>150615.29999999999</v>
      </c>
      <c r="K1190" t="s">
        <v>24</v>
      </c>
      <c r="L1190" t="s">
        <v>18</v>
      </c>
      <c r="M1190" t="s">
        <v>30</v>
      </c>
    </row>
    <row r="1191" spans="1:13">
      <c r="A1191" s="4" t="s">
        <v>1346</v>
      </c>
      <c r="B1191" t="s">
        <v>113</v>
      </c>
      <c r="C1191" s="2">
        <v>45835</v>
      </c>
      <c r="D1191" s="4" t="s">
        <v>48</v>
      </c>
      <c r="E1191" s="4" t="s">
        <v>49</v>
      </c>
      <c r="F1191" s="6">
        <v>7</v>
      </c>
      <c r="G1191" s="6">
        <v>200000</v>
      </c>
      <c r="H1191" s="6">
        <v>1400000</v>
      </c>
      <c r="I1191" s="6">
        <v>153243.39000000001</v>
      </c>
      <c r="J1191" s="6">
        <v>327296.27</v>
      </c>
      <c r="K1191" t="s">
        <v>17</v>
      </c>
      <c r="L1191" t="s">
        <v>18</v>
      </c>
      <c r="M1191" t="s">
        <v>25</v>
      </c>
    </row>
    <row r="1192" spans="1:13">
      <c r="A1192" s="4" t="s">
        <v>1347</v>
      </c>
      <c r="B1192" t="s">
        <v>127</v>
      </c>
      <c r="C1192" s="2">
        <v>45953</v>
      </c>
      <c r="D1192" s="4" t="s">
        <v>45</v>
      </c>
      <c r="E1192" s="4" t="s">
        <v>23</v>
      </c>
      <c r="F1192" s="6">
        <v>7</v>
      </c>
      <c r="G1192" s="6">
        <v>450000</v>
      </c>
      <c r="H1192" s="6">
        <v>3150000</v>
      </c>
      <c r="I1192" s="6">
        <v>345253.17</v>
      </c>
      <c r="J1192" s="6">
        <v>733227.81</v>
      </c>
      <c r="K1192" t="s">
        <v>24</v>
      </c>
      <c r="L1192" t="s">
        <v>29</v>
      </c>
      <c r="M1192" t="s">
        <v>34</v>
      </c>
    </row>
    <row r="1193" spans="1:13">
      <c r="A1193" s="4" t="s">
        <v>1348</v>
      </c>
      <c r="B1193" t="s">
        <v>169</v>
      </c>
      <c r="C1193" s="2">
        <v>45708</v>
      </c>
      <c r="D1193" s="4" t="s">
        <v>63</v>
      </c>
      <c r="E1193" s="4" t="s">
        <v>16</v>
      </c>
      <c r="F1193" s="6">
        <v>12</v>
      </c>
      <c r="G1193" s="6">
        <v>7000</v>
      </c>
      <c r="H1193" s="6">
        <v>84000</v>
      </c>
      <c r="I1193" s="6">
        <v>4623.29</v>
      </c>
      <c r="J1193" s="6">
        <v>28520.52</v>
      </c>
      <c r="K1193" t="s">
        <v>71</v>
      </c>
      <c r="L1193" t="s">
        <v>53</v>
      </c>
      <c r="M1193" t="s">
        <v>19</v>
      </c>
    </row>
    <row r="1194" spans="1:13">
      <c r="A1194" s="4" t="s">
        <v>1349</v>
      </c>
      <c r="B1194" t="s">
        <v>302</v>
      </c>
      <c r="C1194" s="2">
        <v>45726</v>
      </c>
      <c r="D1194" s="4" t="s">
        <v>48</v>
      </c>
      <c r="E1194" s="4" t="s">
        <v>49</v>
      </c>
      <c r="F1194" s="6">
        <v>11</v>
      </c>
      <c r="G1194" s="6">
        <v>140000</v>
      </c>
      <c r="H1194" s="6">
        <v>1540000</v>
      </c>
      <c r="I1194" s="6">
        <v>83714.3</v>
      </c>
      <c r="J1194" s="6">
        <v>619142.69999999995</v>
      </c>
      <c r="K1194" t="s">
        <v>17</v>
      </c>
      <c r="L1194" t="s">
        <v>29</v>
      </c>
      <c r="M1194" t="s">
        <v>38</v>
      </c>
    </row>
    <row r="1195" spans="1:13">
      <c r="A1195" s="4" t="s">
        <v>1350</v>
      </c>
      <c r="B1195" t="s">
        <v>224</v>
      </c>
      <c r="C1195" s="2">
        <v>45968</v>
      </c>
      <c r="D1195" s="4" t="s">
        <v>15</v>
      </c>
      <c r="E1195" s="4" t="s">
        <v>16</v>
      </c>
      <c r="F1195" s="6">
        <v>7</v>
      </c>
      <c r="G1195" s="6">
        <v>8000</v>
      </c>
      <c r="H1195" s="6">
        <v>56000</v>
      </c>
      <c r="I1195" s="6">
        <v>4742.83</v>
      </c>
      <c r="J1195" s="6">
        <v>22800.19</v>
      </c>
      <c r="K1195" t="s">
        <v>71</v>
      </c>
      <c r="L1195" t="s">
        <v>53</v>
      </c>
      <c r="M1195" t="s">
        <v>30</v>
      </c>
    </row>
    <row r="1196" spans="1:13">
      <c r="A1196" s="4" t="s">
        <v>1351</v>
      </c>
      <c r="B1196" t="s">
        <v>161</v>
      </c>
      <c r="C1196" s="2">
        <v>45922</v>
      </c>
      <c r="D1196" s="4" t="s">
        <v>52</v>
      </c>
      <c r="E1196" s="4" t="s">
        <v>23</v>
      </c>
      <c r="F1196" s="6">
        <v>6</v>
      </c>
      <c r="G1196" s="6">
        <v>45000</v>
      </c>
      <c r="H1196" s="6">
        <v>270000</v>
      </c>
      <c r="I1196" s="6">
        <v>35581.97</v>
      </c>
      <c r="J1196" s="6">
        <v>56508.18</v>
      </c>
      <c r="K1196" t="s">
        <v>33</v>
      </c>
      <c r="L1196" t="s">
        <v>18</v>
      </c>
      <c r="M1196" t="s">
        <v>25</v>
      </c>
    </row>
    <row r="1197" spans="1:13">
      <c r="A1197" s="4" t="s">
        <v>1352</v>
      </c>
      <c r="B1197" t="s">
        <v>321</v>
      </c>
      <c r="C1197" s="2">
        <v>45891</v>
      </c>
      <c r="D1197" s="4" t="s">
        <v>28</v>
      </c>
      <c r="E1197" s="4" t="s">
        <v>23</v>
      </c>
      <c r="F1197" s="6">
        <v>10</v>
      </c>
      <c r="G1197" s="6">
        <v>180000</v>
      </c>
      <c r="H1197" s="6">
        <v>1800000</v>
      </c>
      <c r="I1197" s="6">
        <v>140487.21</v>
      </c>
      <c r="J1197" s="6">
        <v>395127.9</v>
      </c>
      <c r="K1197" t="s">
        <v>17</v>
      </c>
      <c r="L1197" t="s">
        <v>53</v>
      </c>
      <c r="M1197" t="s">
        <v>30</v>
      </c>
    </row>
    <row r="1198" spans="1:13">
      <c r="A1198" s="4" t="s">
        <v>1353</v>
      </c>
      <c r="B1198" t="s">
        <v>100</v>
      </c>
      <c r="C1198" s="2">
        <v>45694</v>
      </c>
      <c r="D1198" s="4" t="s">
        <v>15</v>
      </c>
      <c r="E1198" s="4" t="s">
        <v>16</v>
      </c>
      <c r="F1198" s="6">
        <v>5</v>
      </c>
      <c r="G1198" s="6">
        <v>12500</v>
      </c>
      <c r="H1198" s="6">
        <v>62500</v>
      </c>
      <c r="I1198" s="6">
        <v>9926.73</v>
      </c>
      <c r="J1198" s="6">
        <v>12866.35</v>
      </c>
      <c r="K1198" t="s">
        <v>80</v>
      </c>
      <c r="L1198" t="s">
        <v>53</v>
      </c>
      <c r="M1198" t="s">
        <v>50</v>
      </c>
    </row>
    <row r="1199" spans="1:13">
      <c r="A1199" s="4" t="s">
        <v>1354</v>
      </c>
      <c r="B1199" t="s">
        <v>32</v>
      </c>
      <c r="C1199" s="2">
        <v>45672</v>
      </c>
      <c r="D1199" s="4" t="s">
        <v>66</v>
      </c>
      <c r="E1199" s="4" t="s">
        <v>49</v>
      </c>
      <c r="F1199" s="6">
        <v>3</v>
      </c>
      <c r="G1199" s="6">
        <v>90000</v>
      </c>
      <c r="H1199" s="6">
        <v>270000</v>
      </c>
      <c r="I1199" s="6">
        <v>69129.919999999998</v>
      </c>
      <c r="J1199" s="6">
        <v>62610.239999999998</v>
      </c>
      <c r="K1199" t="s">
        <v>17</v>
      </c>
      <c r="L1199" t="s">
        <v>29</v>
      </c>
      <c r="M1199" t="s">
        <v>19</v>
      </c>
    </row>
    <row r="1200" spans="1:13">
      <c r="A1200" s="4" t="s">
        <v>1355</v>
      </c>
      <c r="B1200" t="s">
        <v>92</v>
      </c>
      <c r="C1200" s="2">
        <v>45953</v>
      </c>
      <c r="D1200" s="4" t="s">
        <v>56</v>
      </c>
      <c r="E1200" s="4" t="s">
        <v>23</v>
      </c>
      <c r="F1200" s="6">
        <f>Cleaned_Data4[[#This Row],[Sales_Amount]]/Cleaned_Data4[[#This Row],[Unit_Price]]</f>
        <v>11</v>
      </c>
      <c r="G1200" s="6">
        <v>30000</v>
      </c>
      <c r="H1200" s="6">
        <v>330000</v>
      </c>
      <c r="I1200" s="6">
        <v>20972.26</v>
      </c>
      <c r="J1200" s="6">
        <v>99305.14</v>
      </c>
      <c r="K1200" t="s">
        <v>24</v>
      </c>
      <c r="L1200" t="s">
        <v>53</v>
      </c>
      <c r="M1200" t="s">
        <v>30</v>
      </c>
    </row>
    <row r="1201" spans="1:13">
      <c r="A1201" s="4" t="s">
        <v>1356</v>
      </c>
      <c r="B1201" t="s">
        <v>165</v>
      </c>
      <c r="C1201" s="2">
        <v>45888</v>
      </c>
      <c r="D1201" s="4" t="s">
        <v>45</v>
      </c>
      <c r="E1201" s="4" t="s">
        <v>23</v>
      </c>
      <c r="F1201" s="6">
        <v>5</v>
      </c>
      <c r="G1201" s="6">
        <v>520000</v>
      </c>
      <c r="H1201" s="6">
        <v>2600000</v>
      </c>
      <c r="I1201" s="6">
        <v>409202.51</v>
      </c>
      <c r="J1201" s="6">
        <v>553987.44999999995</v>
      </c>
      <c r="K1201" t="s">
        <v>80</v>
      </c>
      <c r="L1201" t="s">
        <v>53</v>
      </c>
      <c r="M1201" t="s">
        <v>34</v>
      </c>
    </row>
  </sheetData>
  <conditionalFormatting sqref="A1:A1201">
    <cfRule type="containsBlanks" dxfId="23" priority="13">
      <formula>LEN(TRIM(A1))=0</formula>
    </cfRule>
  </conditionalFormatting>
  <conditionalFormatting sqref="B1:B1201">
    <cfRule type="containsBlanks" dxfId="22" priority="12">
      <formula>LEN(TRIM(B1))=0</formula>
    </cfRule>
  </conditionalFormatting>
  <conditionalFormatting sqref="C1:C1201">
    <cfRule type="containsBlanks" dxfId="21" priority="14">
      <formula>LEN(TRIM(C1))=0</formula>
    </cfRule>
  </conditionalFormatting>
  <conditionalFormatting sqref="D1:D1201">
    <cfRule type="containsBlanks" dxfId="20" priority="11">
      <formula>LEN(TRIM(D1))=0</formula>
    </cfRule>
  </conditionalFormatting>
  <conditionalFormatting sqref="E1:E1201">
    <cfRule type="containsBlanks" dxfId="19" priority="10">
      <formula>LEN(TRIM(E1))=0</formula>
    </cfRule>
  </conditionalFormatting>
  <conditionalFormatting sqref="F1:F1201">
    <cfRule type="containsBlanks" dxfId="18" priority="3">
      <formula>LEN(TRIM(F1))=0</formula>
    </cfRule>
  </conditionalFormatting>
  <conditionalFormatting sqref="F10">
    <cfRule type="containsBlanks" priority="2">
      <formula>LEN(TRIM(F10))=0</formula>
    </cfRule>
  </conditionalFormatting>
  <conditionalFormatting sqref="G1:G1201">
    <cfRule type="containsBlanks" dxfId="17" priority="9">
      <formula>LEN(TRIM(G1))=0</formula>
    </cfRule>
  </conditionalFormatting>
  <conditionalFormatting sqref="G1220:G1048576">
    <cfRule type="containsBlanks" dxfId="16" priority="27">
      <formula>LEN(TRIM(G1220))=0</formula>
    </cfRule>
  </conditionalFormatting>
  <conditionalFormatting sqref="H1:H1201">
    <cfRule type="containsBlanks" dxfId="15" priority="8">
      <formula>LEN(TRIM(H1))=0</formula>
    </cfRule>
    <cfRule type="containsBlanks" dxfId="14" priority="16">
      <formula>LEN(TRIM(H1))=0</formula>
    </cfRule>
    <cfRule type="containsBlanks" dxfId="13" priority="26">
      <formula>LEN(TRIM(H1))=0</formula>
    </cfRule>
  </conditionalFormatting>
  <conditionalFormatting sqref="I1:I1201">
    <cfRule type="containsBlanks" dxfId="12" priority="7">
      <formula>LEN(TRIM(I1))=0</formula>
    </cfRule>
    <cfRule type="containsBlanks" dxfId="11" priority="25">
      <formula>LEN(TRIM(I1))=0</formula>
    </cfRule>
  </conditionalFormatting>
  <conditionalFormatting sqref="J1:J224">
    <cfRule type="containsBlanks" dxfId="10" priority="23">
      <formula>LEN(TRIM(J1))=0</formula>
    </cfRule>
    <cfRule type="containsBlanks" dxfId="9" priority="24">
      <formula>LEN(TRIM(J1))=0</formula>
    </cfRule>
  </conditionalFormatting>
  <conditionalFormatting sqref="J1:J1201 J1220:J1048576">
    <cfRule type="containsBlanks" dxfId="8" priority="15">
      <formula>LEN(TRIM(J1))=0</formula>
    </cfRule>
    <cfRule type="containsBlanks" dxfId="7" priority="20">
      <formula>LEN(TRIM(J1))=0</formula>
    </cfRule>
    <cfRule type="containsBlanks" dxfId="6" priority="21">
      <formula>LEN(TRIM(J1))=0</formula>
    </cfRule>
  </conditionalFormatting>
  <conditionalFormatting sqref="J2:J1201">
    <cfRule type="containsBlanks" priority="1">
      <formula>LEN(TRIM(J2))=0</formula>
    </cfRule>
  </conditionalFormatting>
  <conditionalFormatting sqref="K1:K1201">
    <cfRule type="containsBlanks" dxfId="5" priority="6">
      <formula>LEN(TRIM(K1))=0</formula>
    </cfRule>
    <cfRule type="containsBlanks" dxfId="4" priority="19">
      <formula>LEN(TRIM(K1))=0</formula>
    </cfRule>
  </conditionalFormatting>
  <conditionalFormatting sqref="L1:L1201">
    <cfRule type="containsBlanks" dxfId="3" priority="5">
      <formula>LEN(TRIM(L1))=0</formula>
    </cfRule>
    <cfRule type="containsBlanks" dxfId="2" priority="17">
      <formula>LEN(TRIM(L1))=0</formula>
    </cfRule>
  </conditionalFormatting>
  <conditionalFormatting sqref="M1:M1201">
    <cfRule type="containsBlanks" dxfId="1" priority="4">
      <formula>LEN(TRIM(M1))=0</formula>
    </cfRule>
    <cfRule type="containsBlanks" dxfId="0" priority="18">
      <formula>LEN(TRIM(M1))=0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767D93-D85C-4C09-AB90-73EB66DB56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Oluwakoya Gideon</dc:creator>
  <cp:lastModifiedBy>Oluwakoya Gideon</cp:lastModifiedBy>
  <dcterms:created xsi:type="dcterms:W3CDTF">2026-09-22T12:33:03Z</dcterms:created>
  <dcterms:modified xsi:type="dcterms:W3CDTF">2026-10-02T03:34:04Z</dcterms:modified>
</cp:coreProperties>
</file>